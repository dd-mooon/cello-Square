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My files\2024년 4월~ (물류MI그룹)\06. 수명업무\01. 미국 관세정책 경과(마케팅포탈)\"/>
    </mc:Choice>
  </mc:AlternateContent>
  <bookViews>
    <workbookView xWindow="-105" yWindow="-105" windowWidth="14160" windowHeight="9270"/>
  </bookViews>
  <sheets>
    <sheet name="경과" sheetId="1" r:id="rId1"/>
    <sheet name="국가별 관세 정리" sheetId="6" r:id="rId2"/>
    <sheet name="Sheet1" sheetId="8" r:id="rId3"/>
    <sheet name="국가별 신규 관세율(8월~)" sheetId="5" r:id="rId4"/>
    <sheet name="중국산 반도체 관세 경과" sheetId="7" r:id="rId5"/>
    <sheet name="국가별" sheetId="2" state="hidden" r:id="rId6"/>
    <sheet name="상호관세율 전,후" sheetId="3" state="hidden" r:id="rId7"/>
  </sheets>
  <definedNames>
    <definedName name="_xlnm._FilterDatabase" localSheetId="0" hidden="1">경과!$A$1:$E$92</definedName>
    <definedName name="_xlnm._FilterDatabase" localSheetId="3" hidden="1">'국가별 신규 관세율(8월~)'!$A$2:$F$71</definedName>
    <definedName name="_xlnm._FilterDatabase" localSheetId="6" hidden="1">'상호관세율 전,후'!$C$3:$G$63</definedName>
    <definedName name="국가별_상호관세율_백악관_ANNEX_1_VF_한국비율정정" localSheetId="6">'상호관세율 전,후'!#REF!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3" l="1"/>
  <c r="G38" i="3"/>
  <c r="G5" i="3" l="1"/>
  <c r="G6" i="3"/>
  <c r="G7" i="3"/>
  <c r="G8" i="3"/>
  <c r="G9" i="3"/>
  <c r="G10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4" i="3"/>
  <c r="F8" i="2" l="1"/>
  <c r="F5" i="2" l="1"/>
</calcChain>
</file>

<file path=xl/sharedStrings.xml><?xml version="1.0" encoding="utf-8"?>
<sst xmlns="http://schemas.openxmlformats.org/spreadsheetml/2006/main" count="983" uniqueCount="673">
  <si>
    <t>미국 연방항소법원, 항소 심리 기간내 관세 부과 효력 유지 결정</t>
  </si>
  <si>
    <t>미국 연방항소법원, 상호관세 무효화 판결 일시 중단 (~6월 9일까지)</t>
  </si>
  <si>
    <t>전세계 수입품에 10% 보편관세 발효</t>
  </si>
  <si>
    <t>USMCA(북미 자유무역협정)에 따라 원산지 규정 충족한 멕시코/캐나다산 제품 25% 관세 면제</t>
  </si>
  <si>
    <t>멕시코/캐나다 25%, 중국 추가 10% 관세 발효</t>
  </si>
  <si>
    <t>중국 10% 관세 발효</t>
  </si>
  <si>
    <t>2025.06.12</t>
  </si>
  <si>
    <t>2025.06.10</t>
  </si>
  <si>
    <t>2025.06.03</t>
  </si>
  <si>
    <t>2025.05.29</t>
  </si>
  <si>
    <t>2025.05.28</t>
  </si>
  <si>
    <t>2025.05.12</t>
  </si>
  <si>
    <t>2025.04.09</t>
  </si>
  <si>
    <t>2025.04.08</t>
  </si>
  <si>
    <t>2025.04.05</t>
  </si>
  <si>
    <t>2025.04.02</t>
  </si>
  <si>
    <t>2025.03.12</t>
  </si>
  <si>
    <t>2025.03.06</t>
  </si>
  <si>
    <t>2025.03.04</t>
  </si>
  <si>
    <t>2025.02.04</t>
  </si>
  <si>
    <t>2025.02.03</t>
  </si>
  <si>
    <t>2025.02.01</t>
  </si>
  <si>
    <t>품목</t>
    <phoneticPr fontId="1" type="noConversion"/>
  </si>
  <si>
    <t>보편/상호</t>
    <phoneticPr fontId="1" type="noConversion"/>
  </si>
  <si>
    <t>펜타닐 이슈</t>
    <phoneticPr fontId="1" type="noConversion"/>
  </si>
  <si>
    <t>일자</t>
    <phoneticPr fontId="1" type="noConversion"/>
  </si>
  <si>
    <t>카테고리</t>
    <phoneticPr fontId="1" type="noConversion"/>
  </si>
  <si>
    <t>관세 정책 상세</t>
    <phoneticPr fontId="1" type="noConversion"/>
  </si>
  <si>
    <t>드 미니미스</t>
    <phoneticPr fontId="1" type="noConversion"/>
  </si>
  <si>
    <t>중국/홍콩발 800달러 이하 소포 대상 관세율 인하
 - 종가세: 제품가격의 54%로 인하
 - 종량세: 5월 2일부터 발효된 품목당 100달러 유지</t>
    <phoneticPr fontId="1" type="noConversion"/>
  </si>
  <si>
    <t>중국/홍콩발 800달러 이하 소포 대상 관세율 인상
 - 종가세: 제품가격의 90%, 5월 2일부터 발효
 - 종량세: 품목당 75달러, 5월 2일부터 발효 → 품목당 150달러, 6월 1일부터 발효</t>
    <phoneticPr fontId="1" type="noConversion"/>
  </si>
  <si>
    <t>중국/홍콩발 800달러 이하 소포 대상 관세 부과, 5월 2일부터 발효
 - 종가세 또는 종량세 조건 중 택일하여 부과
 - 종가세: 제품가격의 30% 부과, 5월 2일부터 발효
 - 종량세: 품목당 25달러, 5월 2일부터 발효 → 품목당 50달러, 6월 1일부터 발효</t>
    <phoneticPr fontId="1" type="noConversion"/>
  </si>
  <si>
    <t>2025.05.03</t>
    <phoneticPr fontId="1" type="noConversion"/>
  </si>
  <si>
    <t>2025.04.03</t>
    <phoneticPr fontId="1" type="noConversion"/>
  </si>
  <si>
    <t>수입산 자동차 25% 관세 발효</t>
    <phoneticPr fontId="1" type="noConversion"/>
  </si>
  <si>
    <t>수입산 자동차 부품 25% 관세 발효</t>
    <phoneticPr fontId="1" type="noConversion"/>
  </si>
  <si>
    <t>철강, 알루미늄 및 파생제품(볼트, 너트, 스프링 등) 대상 25% 관세  발효</t>
    <phoneticPr fontId="1" type="noConversion"/>
  </si>
  <si>
    <t>중국</t>
    <phoneticPr fontId="1" type="noConversion"/>
  </si>
  <si>
    <t>멕시코/캐나다</t>
    <phoneticPr fontId="1" type="noConversion"/>
  </si>
  <si>
    <t>그 외 국가</t>
    <phoneticPr fontId="1" type="noConversion"/>
  </si>
  <si>
    <t>펜타닐</t>
    <phoneticPr fontId="1" type="noConversion"/>
  </si>
  <si>
    <t>자동차</t>
    <phoneticPr fontId="1" type="noConversion"/>
  </si>
  <si>
    <t>자동차부품</t>
    <phoneticPr fontId="1" type="noConversion"/>
  </si>
  <si>
    <t>최종</t>
    <phoneticPr fontId="1" type="noConversion"/>
  </si>
  <si>
    <t>보편</t>
    <phoneticPr fontId="1" type="noConversion"/>
  </si>
  <si>
    <t>상호</t>
    <phoneticPr fontId="1" type="noConversion"/>
  </si>
  <si>
    <t>-</t>
    <phoneticPr fontId="1" type="noConversion"/>
  </si>
  <si>
    <t>현재</t>
    <phoneticPr fontId="1" type="noConversion"/>
  </si>
  <si>
    <t>90일 유예</t>
    <phoneticPr fontId="1" type="noConversion"/>
  </si>
  <si>
    <t>현재
(유예기간)</t>
    <phoneticPr fontId="1" type="noConversion"/>
  </si>
  <si>
    <t>8/12일 이후
(유예기간 종료)</t>
    <phoneticPr fontId="1" type="noConversion"/>
  </si>
  <si>
    <t>품목 관세</t>
    <phoneticPr fontId="1" type="noConversion"/>
  </si>
  <si>
    <t>국가별 상이
(협상 결과)</t>
    <phoneticPr fontId="1" type="noConversion"/>
  </si>
  <si>
    <t>7/9일 이후
(유예기간 종료)</t>
    <phoneticPr fontId="1" type="noConversion"/>
  </si>
  <si>
    <t>USMCA 적용 0%
USMCA 미적용 25%</t>
    <phoneticPr fontId="1" type="noConversion"/>
  </si>
  <si>
    <t>10% + 20% = 30%</t>
    <phoneticPr fontId="1" type="noConversion"/>
  </si>
  <si>
    <t>34% + 20% = 54%</t>
    <phoneticPr fontId="1" type="noConversion"/>
  </si>
  <si>
    <t>국가</t>
    <phoneticPr fontId="1" type="noConversion"/>
  </si>
  <si>
    <t>기간</t>
    <phoneticPr fontId="1" type="noConversion"/>
  </si>
  <si>
    <t>국가별 상호관세 발효 후, 상호관세 90일간(4월 10일~7월 8일) 유예 결정
 - 보편관세 10%만 적용(중국 제외)
 - 중국 대상 상호관세율 84%→125%로 추가 인상 발표, 4월 10일부터 발효</t>
    <phoneticPr fontId="1" type="noConversion"/>
  </si>
  <si>
    <t>철강 품목관세 파생제품 대상에 가전제품(냉장고, 세탁기, 건조기, 식기세척기 등) 추가 발표
 - 철강 함량 가치 기준으로 50% 부과
 - 6월 23일부터 발효</t>
    <phoneticPr fontId="1" type="noConversion"/>
  </si>
  <si>
    <t>철강, 알루미늄 및 파생제품 대상 관세율 25% → 50% 인상 발표
 - 6월 4일부터 발효</t>
    <phoneticPr fontId="1" type="noConversion"/>
  </si>
  <si>
    <t>미-중 90일간(5월 14일~8월 11일) 관세 유예 합의
 - 미국의 대중관세율: 상호관세 125% → 10%로 인하, 펜타닐 유입 우려에 따른 관세 20%는 유지
 - 중국의 대미관세율: 상호관세 125% → 10%로 인하</t>
    <phoneticPr fontId="1" type="noConversion"/>
  </si>
  <si>
    <t>미국 연방국제통상법원, 국제비상경제권한법(IEEPA) 근거한 관세 부과 무효화 판결</t>
    <phoneticPr fontId="1" type="noConversion"/>
  </si>
  <si>
    <t>불법 이민, 펜타닐 유입에 대한 우려로 멕시코/캐나다에 25%, 중국에 10% 관세 부과 발표</t>
    <phoneticPr fontId="1" type="noConversion"/>
  </si>
  <si>
    <t>멕시코/캐나다 25% 관세 한 달간 유예(~3월 3일까지) 발표</t>
    <phoneticPr fontId="1" type="noConversion"/>
  </si>
  <si>
    <t>트럼프 대통령, '해방의 날'로 선언하며 국제비상경제권한법(IEEPA) 근거로 보편/상호관세 발표
(보편관세) 4월 5일부터 전 국가의 수입품에 대해 일괄적으로 10% 관세 발효
(상호관세) 4월 9일부터 국가별 무역장벽 수준에 따라 추가 관세 발효
  -  베트남 46%, 미얀마 45%, 태국 37%, 중국 34%, 대만 32%, 인도네시아 32%, 스위스 32%, 남아공 31%, 
      인도 27%, 한국: 26%, 말레이시아 24%, 일본 24%, EU 20%, 이스라엘 17%등
  - 캐나다/멕시코는 별도 25% 추가 관세가 적용되어 보편/상호관세 미부과
  - 품목 관세와 중복 적용되지 않음</t>
    <phoneticPr fontId="1" type="noConversion"/>
  </si>
  <si>
    <t>중국 상호관세율 34% → 84%로 인상 발표, 4월 9일부터 발효</t>
    <phoneticPr fontId="1" type="noConversion"/>
  </si>
  <si>
    <t>중국</t>
    <phoneticPr fontId="1" type="noConversion"/>
  </si>
  <si>
    <t>한국</t>
    <phoneticPr fontId="1" type="noConversion"/>
  </si>
  <si>
    <t>베트남</t>
    <phoneticPr fontId="1" type="noConversion"/>
  </si>
  <si>
    <t>태국</t>
    <phoneticPr fontId="1" type="noConversion"/>
  </si>
  <si>
    <t>인도네시아</t>
    <phoneticPr fontId="1" type="noConversion"/>
  </si>
  <si>
    <t>말레이시아</t>
    <phoneticPr fontId="1" type="noConversion"/>
  </si>
  <si>
    <t>필리핀</t>
    <phoneticPr fontId="1" type="noConversion"/>
  </si>
  <si>
    <t>호주</t>
    <phoneticPr fontId="1" type="noConversion"/>
  </si>
  <si>
    <t>싱가포르</t>
    <phoneticPr fontId="1" type="noConversion"/>
  </si>
  <si>
    <t>EU</t>
    <phoneticPr fontId="1" type="noConversion"/>
  </si>
  <si>
    <t>영국</t>
    <phoneticPr fontId="1" type="noConversion"/>
  </si>
  <si>
    <t>남아공</t>
    <phoneticPr fontId="1" type="noConversion"/>
  </si>
  <si>
    <t>이집트</t>
    <phoneticPr fontId="1" type="noConversion"/>
  </si>
  <si>
    <t>UAE</t>
    <phoneticPr fontId="1" type="noConversion"/>
  </si>
  <si>
    <t>터키</t>
    <phoneticPr fontId="1" type="noConversion"/>
  </si>
  <si>
    <t>파나마</t>
    <phoneticPr fontId="1" type="noConversion"/>
  </si>
  <si>
    <t>페루</t>
    <phoneticPr fontId="1" type="noConversion"/>
  </si>
  <si>
    <t>콜롬비아</t>
    <phoneticPr fontId="1" type="noConversion"/>
  </si>
  <si>
    <t>칠레</t>
    <phoneticPr fontId="1" type="noConversion"/>
  </si>
  <si>
    <t>브라질</t>
    <phoneticPr fontId="1" type="noConversion"/>
  </si>
  <si>
    <t>상호관세율</t>
    <phoneticPr fontId="1" type="noConversion"/>
  </si>
  <si>
    <t>동남아</t>
    <phoneticPr fontId="1" type="noConversion"/>
  </si>
  <si>
    <t>유럽</t>
    <phoneticPr fontId="1" type="noConversion"/>
  </si>
  <si>
    <t>중동/아프리카</t>
    <phoneticPr fontId="1" type="noConversion"/>
  </si>
  <si>
    <t>중남미</t>
    <phoneticPr fontId="1" type="noConversion"/>
  </si>
  <si>
    <t>구분</t>
    <phoneticPr fontId="1" type="noConversion"/>
  </si>
  <si>
    <t>국가</t>
    <phoneticPr fontId="1" type="noConversion"/>
  </si>
  <si>
    <t xml:space="preserve">[ 주요 국가별 상호관세율 ] </t>
    <phoneticPr fontId="1" type="noConversion"/>
  </si>
  <si>
    <t>인도</t>
    <phoneticPr fontId="1" type="noConversion"/>
  </si>
  <si>
    <r>
      <rPr>
        <vertAlign val="superscript"/>
        <sz val="11"/>
        <color theme="1"/>
        <rFont val="맑은 고딕"/>
        <family val="3"/>
        <charset val="129"/>
        <scheme val="minor"/>
      </rPr>
      <t>1</t>
    </r>
    <r>
      <rPr>
        <sz val="11"/>
        <color theme="1"/>
        <rFont val="맑은 고딕"/>
        <family val="2"/>
        <charset val="129"/>
        <scheme val="minor"/>
      </rPr>
      <t xml:space="preserve"> 보편/상호관세와 품목관세는 중복 적용 X</t>
    </r>
    <phoneticPr fontId="1" type="noConversion"/>
  </si>
  <si>
    <r>
      <t>보편/상호 관세</t>
    </r>
    <r>
      <rPr>
        <b/>
        <vertAlign val="superscript"/>
        <sz val="11"/>
        <color theme="1"/>
        <rFont val="맑은 고딕"/>
        <family val="3"/>
        <charset val="129"/>
        <scheme val="minor"/>
      </rPr>
      <t>1</t>
    </r>
    <phoneticPr fontId="1" type="noConversion"/>
  </si>
  <si>
    <t>2025.06.16</t>
    <phoneticPr fontId="1" type="noConversion"/>
  </si>
  <si>
    <t>영국</t>
    <phoneticPr fontId="1" type="noConversion"/>
  </si>
  <si>
    <t>현재</t>
    <phoneticPr fontId="1" type="noConversion"/>
  </si>
  <si>
    <t>-</t>
    <phoneticPr fontId="1" type="noConversion"/>
  </si>
  <si>
    <t>철강/알루미늄</t>
    <phoneticPr fontId="1" type="noConversion"/>
  </si>
  <si>
    <t>25%
(면제 쿼터제 설정 예정)</t>
    <phoneticPr fontId="1" type="noConversion"/>
  </si>
  <si>
    <t>베트남, 아시아 국가 중 첫 무역 합의
 - 베트남산 제품 대상 상호관세 46%→20% 인하
   단, 환적(베트남 경유해 미국 수출) 제품 대상 40% 관세 적용
 - 베트남은 미국산 제품 무관세 적용</t>
    <phoneticPr fontId="1" type="noConversion"/>
  </si>
  <si>
    <t>영국, 상호관세 유예 후 첫 무역협정 체결
 - 상호관세 10% 유지
 - 완성차(연간 10만대 규모 대상) 관세 10%
 - 자동차 부품(영국에서 생산되어 영국산 완성차에 사용) 관세 10%
 - 철강 면제 할당량 설정 예정</t>
    <phoneticPr fontId="1" type="noConversion"/>
  </si>
  <si>
    <t>2025.07.02</t>
    <phoneticPr fontId="1" type="noConversion"/>
  </si>
  <si>
    <t>2025.07.07</t>
    <phoneticPr fontId="1" type="noConversion"/>
  </si>
  <si>
    <t>상호관세 유예기간 7월말까지 연장 
 - 미 동부시간 기준 7월 9일 0시 → 8월 1일 0시로 변경
14개국 대상 신규 상호관세율 서한 발송
 - 8월 1일부터 신규 상호관세율 적용
 - 대상 국가 : 일본 25%, 한국 25%, 남아프리카공화국 30%, 카자흐스탄 25%, 라오스 40%, 말레이시아 25%, 
    미얀마 40%, 튀니지 25%, 보스니아 헤르체고비나 30%, 인도네시아 32%, 방글라데시 35%, 
    세르비아 35%, 캄보디아 36%, 태국 36%</t>
    <phoneticPr fontId="1" type="noConversion"/>
  </si>
  <si>
    <t>Vietnam, the first country to reach a trade deal among Asian countries
 - Reciprocal tariffs lowered from 46% to 20% on Vietnamese goods 
   But, 40% tariffs imposed on T/S goods (transshipment through Vietnam and export to the U.S.)
 - Vietnam charged no tariffs on US products</t>
    <phoneticPr fontId="1" type="noConversion"/>
  </si>
  <si>
    <t xml:space="preserve">The U.K. reached the first trade deal after reciprocal tariff pause 
 - Maintain 10% reciprocal tariff
 - 10% tariffs on finished vehicles (100,000 units annually)
 - 10% tariffs on auto parts (manufactured in the U.K. to be used in U.K.-made vehicles)
 - Will set the quota allocated to be exempt from the tariff on steel </t>
    <phoneticPr fontId="1" type="noConversion"/>
  </si>
  <si>
    <t xml:space="preserve">The U.S. Court of Appeals ruled to remain tariff impositions in effect during the appeal proceedings </t>
    <phoneticPr fontId="1" type="noConversion"/>
  </si>
  <si>
    <t>The U.S. Court of International Trade ruled to invalidate tariff impositions under the International Emergency Economic Powers Act (IEEPA)</t>
    <phoneticPr fontId="1" type="noConversion"/>
  </si>
  <si>
    <t>The U.S.-China agreed to suspend tariffs for 90 days (May 14~Aug 11)
 - Tariffs on China: Cut reciprocal tariffs from 125% to 10% but 20% tariffs still remain followed by concerns over sending fentanyl into the U.S.
 - Tariffs on the U.S.: Reciprocal tariffs lowered from 125% to 10%</t>
    <phoneticPr fontId="1" type="noConversion"/>
  </si>
  <si>
    <t>Reduced tariffs on small parcels valued under $800 from China/Hong Kong
 - Ad Valorem tax: Reduced to 54% of product price
 - Specific tax: Maintain at $100 by item, effective from May 2</t>
    <phoneticPr fontId="1" type="noConversion"/>
  </si>
  <si>
    <t xml:space="preserve">25% tariffs on imported auto parts in effect </t>
    <phoneticPr fontId="1" type="noConversion"/>
  </si>
  <si>
    <t xml:space="preserve">After the imposition of reciprocal tariffs by country, a decision on 90-day tariff pause (Apr 10~Jul 8) was made 
 - Only apply 10% universal tariff (except for China)
 - Announced to increase reciprocal tariffs additionally from 84% to 125% on China, effective from Apr 10  </t>
    <phoneticPr fontId="1" type="noConversion"/>
  </si>
  <si>
    <t xml:space="preserve">Announced to raise reciprocal tariffs from 34% to 84% on China, effective from Apr 9 </t>
    <phoneticPr fontId="1" type="noConversion"/>
  </si>
  <si>
    <t>10% universal tariffs on all imports across the world are in effect</t>
    <phoneticPr fontId="1" type="noConversion"/>
  </si>
  <si>
    <t>25% tariffs on imported cars are in effect</t>
    <phoneticPr fontId="1" type="noConversion"/>
  </si>
  <si>
    <t>25% tariffs on steel, aluminum and derivate products (bolts, nuts, springs, etc.) are come into force</t>
    <phoneticPr fontId="1" type="noConversion"/>
  </si>
  <si>
    <t>Under the USMCA (North American Free Trade Agreement), Mexican/Canadian products meeting the rules of 
origin requirements are exempted from the 25% tariff</t>
    <phoneticPr fontId="1" type="noConversion"/>
  </si>
  <si>
    <t>25% tariffs on Mexico/Canada and additional 10% on China in effect</t>
    <phoneticPr fontId="1" type="noConversion"/>
  </si>
  <si>
    <t xml:space="preserve">10% tariffs on China in effect </t>
    <phoneticPr fontId="1" type="noConversion"/>
  </si>
  <si>
    <t>Announced to pause 25% tariffs on Mexico/Canada for a month (by Mar 3)</t>
    <phoneticPr fontId="1" type="noConversion"/>
  </si>
  <si>
    <t xml:space="preserve">Announcement of 25% tariffs on Mexico/Canada and 10% on China due to concerns over illegal immigration and influx of fentanyl was made
</t>
    <phoneticPr fontId="1" type="noConversion"/>
  </si>
  <si>
    <t>Universal/Reciprocal</t>
    <phoneticPr fontId="1" type="noConversion"/>
  </si>
  <si>
    <t>Item</t>
    <phoneticPr fontId="1" type="noConversion"/>
  </si>
  <si>
    <t>De Minimis</t>
    <phoneticPr fontId="1" type="noConversion"/>
  </si>
  <si>
    <t xml:space="preserve">Item </t>
    <phoneticPr fontId="1" type="noConversion"/>
  </si>
  <si>
    <t>Fentanyl Issue</t>
    <phoneticPr fontId="1" type="noConversion"/>
  </si>
  <si>
    <t>Category</t>
    <phoneticPr fontId="1" type="noConversion"/>
  </si>
  <si>
    <t xml:space="preserve"> Details of Tariff Policies</t>
    <phoneticPr fontId="1" type="noConversion"/>
  </si>
  <si>
    <t xml:space="preserve">Raised tariffs on steel, aluminum and derivative products from 25% to 50% 
 - Effective from Jun 4 </t>
    <phoneticPr fontId="1" type="noConversion"/>
  </si>
  <si>
    <t xml:space="preserve">The U.S. Court of Appeal temporarily halted the ruling, invalidating reciprocal tariffs (by Jun 9) </t>
    <phoneticPr fontId="1" type="noConversion"/>
  </si>
  <si>
    <t xml:space="preserve"> 
Extension of reciprocal tariff grace period until end of July
 - Effective date changed from Jul 9, 12:00 a.m. (EST) to Aug 1, 12:00 a.m. (EST)
Notice of new reciprocal tariff rates sent to 14 countries
 - New reciprocal tariff rates to be applied starting Aug 1
 - Affected countries: Japan 25%, South Korea 25%, South Africa 30%, Kazakhstan 25%, Laos 40%, Malaysia 25%, Myanmar 40%, Tunisia 25%, Bosnia and Herzegovina 30%, Indonesia 32%, Bangladesh 35%,
Serbia 35%, Cambodia 36%, Thailand 36%</t>
    <phoneticPr fontId="1" type="noConversion"/>
  </si>
  <si>
    <t>Additional announcement of tariffs on steel derivative products such as household appliances (refrigerator, washing machine, drying machine, dishwasher, etc.) 
 - Imposed 50% according to the steel content
 - Effective from Jun 23</t>
    <phoneticPr fontId="1" type="noConversion"/>
  </si>
  <si>
    <t>Raised tariffs on small parcels valued under $800 from China/Hong Kong
 - Ad Valorem tax: 90% of product price, effective from May 2
 - Specific tax: $75 by item, effective from May 2 → $150 by item, effective from Jun 1</t>
    <phoneticPr fontId="1" type="noConversion"/>
  </si>
  <si>
    <t>President Trump declared 'Liberation Day' and announced universal/reciprocal tariffs under the International Emergency Economic Powers Act (IEEPA):
(Universal) A blanket 10% tariffs on imports from all countries are effective from Apr 5
(Reciprocal) Additional tariffs according to the trade barrier levels by country will be effective from Apr 9
 - Vietnam 46%, Myanmar 45%, Thailand 37%, China 34%, Taiwan 32%, Indonesia 32%, Switzerland 32%,   
    South Africa 31%, India 27%, South Korea 26%, Malaysia 24%, Japan 24%, EU 20%, Israel 17%, etc.
 - Canada/Mexico are exempted from universal/reciprocal tariffs 
 - Not applied cumulatively with item-specific tariffs</t>
    <phoneticPr fontId="1" type="noConversion"/>
  </si>
  <si>
    <t>Levied tariffs on small parcels valued under $800 from China/Hong Kong, effective from May 2
 - Select between Ad Valorem tax or Specific tax conditions
 - Ad Valorem tax: Impose 30% of product price, effective from May 2
 - Specific tax: $25 by item, effective from May 2 → $50 by item, effective from Jun 1</t>
    <phoneticPr fontId="1" type="noConversion"/>
  </si>
  <si>
    <t>Country</t>
  </si>
  <si>
    <t>Angola</t>
  </si>
  <si>
    <t>Bangladesh</t>
  </si>
  <si>
    <t>Botswana</t>
  </si>
  <si>
    <t>Cambodia</t>
  </si>
  <si>
    <t>Cameroon</t>
  </si>
  <si>
    <t>Chad</t>
  </si>
  <si>
    <t>China</t>
  </si>
  <si>
    <t>Fiji</t>
  </si>
  <si>
    <t>Guyana</t>
  </si>
  <si>
    <t>India</t>
  </si>
  <si>
    <t>Indonesia</t>
  </si>
  <si>
    <t>Israel</t>
  </si>
  <si>
    <t>Japan</t>
  </si>
  <si>
    <t>Jordan</t>
  </si>
  <si>
    <t>Kazakhstan</t>
  </si>
  <si>
    <t>Laos</t>
  </si>
  <si>
    <t>Lesotho</t>
  </si>
  <si>
    <t>Liechtenstein</t>
  </si>
  <si>
    <t>Madagascar</t>
  </si>
  <si>
    <t>Malawi</t>
  </si>
  <si>
    <t>Malaysia</t>
  </si>
  <si>
    <t>Mauritius</t>
  </si>
  <si>
    <t>Mozambique</t>
  </si>
  <si>
    <t>Bosnia and Herzegovina</t>
    <phoneticPr fontId="1" type="noConversion"/>
  </si>
  <si>
    <t>Reciprocal Tariff</t>
    <phoneticPr fontId="1" type="noConversion"/>
  </si>
  <si>
    <t>Democratic Republic of the Congo</t>
    <phoneticPr fontId="1" type="noConversion"/>
  </si>
  <si>
    <t>Equatorial Guinea</t>
    <phoneticPr fontId="1" type="noConversion"/>
  </si>
  <si>
    <t>European Union</t>
    <phoneticPr fontId="1" type="noConversion"/>
  </si>
  <si>
    <t>Falkland Islands</t>
    <phoneticPr fontId="1" type="noConversion"/>
  </si>
  <si>
    <t>Myanmar(Burma)</t>
  </si>
  <si>
    <t>Côte d`Ivoire</t>
    <phoneticPr fontId="1" type="noConversion"/>
  </si>
  <si>
    <t>Nicaragua</t>
  </si>
  <si>
    <t>Nigeria</t>
  </si>
  <si>
    <t>North Macedonia</t>
    <phoneticPr fontId="1" type="noConversion"/>
  </si>
  <si>
    <t>Norway</t>
  </si>
  <si>
    <t>Pakistan</t>
  </si>
  <si>
    <t>Serbia</t>
  </si>
  <si>
    <t>South Africa</t>
    <phoneticPr fontId="1" type="noConversion"/>
  </si>
  <si>
    <t>South Korea</t>
    <phoneticPr fontId="1" type="noConversion"/>
  </si>
  <si>
    <t>Sri Lanka</t>
    <phoneticPr fontId="1" type="noConversion"/>
  </si>
  <si>
    <t>Switzerland</t>
  </si>
  <si>
    <t>Syria</t>
  </si>
  <si>
    <t>Taiwan</t>
  </si>
  <si>
    <t>Thailand</t>
  </si>
  <si>
    <t>Tunisia</t>
  </si>
  <si>
    <t>Vanuatu</t>
  </si>
  <si>
    <t>Venezuela</t>
  </si>
  <si>
    <t>Vietnam</t>
  </si>
  <si>
    <t>Zambia</t>
  </si>
  <si>
    <t>Zimbabwe</t>
  </si>
  <si>
    <t>2025.07.09</t>
    <phoneticPr fontId="1" type="noConversion"/>
  </si>
  <si>
    <t>8개국 대상 신규 상호관세율 서한 발송
 - 8월 1일부터 신규 상호관세율 적용
 - 대상 국가 : 필리핀 20%, 브루나이/몰도바 25%, 알제리/이라크/리비아/스리랑카 30%, 브라질 50%</t>
    <phoneticPr fontId="1" type="noConversion"/>
  </si>
  <si>
    <t>Philippines</t>
    <phoneticPr fontId="1" type="noConversion"/>
  </si>
  <si>
    <t>Brunei</t>
    <phoneticPr fontId="1" type="noConversion"/>
  </si>
  <si>
    <t>Moldova</t>
    <phoneticPr fontId="1" type="noConversion"/>
  </si>
  <si>
    <t>Algeria</t>
    <phoneticPr fontId="1" type="noConversion"/>
  </si>
  <si>
    <t>Iraq</t>
    <phoneticPr fontId="1" type="noConversion"/>
  </si>
  <si>
    <t>Libya</t>
    <phoneticPr fontId="1" type="noConversion"/>
  </si>
  <si>
    <t>Notice of new reciprocal tariff rates sent to 8 countries
 - New reciprocal tariff rates to be applied starting Aug 1
 - Affected countries: Philippines 20%, Brunei/Moldova 25%, Algeria/Iraq/Libya/Sri Lanka 30%, Brazil 50%</t>
    <phoneticPr fontId="1" type="noConversion"/>
  </si>
  <si>
    <t>비고</t>
    <phoneticPr fontId="1" type="noConversion"/>
  </si>
  <si>
    <t>7월 7일 발표</t>
    <phoneticPr fontId="1" type="noConversion"/>
  </si>
  <si>
    <t>8월 1일 적용</t>
    <phoneticPr fontId="1" type="noConversion"/>
  </si>
  <si>
    <t>7월 9일 발표</t>
    <phoneticPr fontId="1" type="noConversion"/>
  </si>
  <si>
    <t>Brazil</t>
    <phoneticPr fontId="1" type="noConversion"/>
  </si>
  <si>
    <t>4월 대비 8월 변화</t>
    <phoneticPr fontId="1" type="noConversion"/>
  </si>
  <si>
    <t>4월 2일 발표</t>
    <phoneticPr fontId="1" type="noConversion"/>
  </si>
  <si>
    <t>2025.07.12</t>
    <phoneticPr fontId="1" type="noConversion"/>
  </si>
  <si>
    <t>유럽연합(EU)와 멕시코 대상 30% 신규 상호관세율 부과 발표
 - 8월 1일부터 신규 상호관세율 적용</t>
    <phoneticPr fontId="1" type="noConversion"/>
  </si>
  <si>
    <t>2025.07.10</t>
    <phoneticPr fontId="1" type="noConversion"/>
  </si>
  <si>
    <t>캐나다 대상 35% 신규 상호관세율 부과 발표
 - 8월 1일부터 신규 상호관세율 적용</t>
    <phoneticPr fontId="1" type="noConversion"/>
  </si>
  <si>
    <t>Canada</t>
    <phoneticPr fontId="1" type="noConversion"/>
  </si>
  <si>
    <t>7월 10일 발표</t>
    <phoneticPr fontId="1" type="noConversion"/>
  </si>
  <si>
    <t>Mexico</t>
    <phoneticPr fontId="1" type="noConversion"/>
  </si>
  <si>
    <t>7월 12일 발표</t>
    <phoneticPr fontId="1" type="noConversion"/>
  </si>
  <si>
    <t>2025.07.15</t>
    <phoneticPr fontId="1" type="noConversion"/>
  </si>
  <si>
    <t>2025.07.04</t>
    <phoneticPr fontId="1" type="noConversion"/>
  </si>
  <si>
    <t>최종</t>
    <phoneticPr fontId="1" type="noConversion"/>
  </si>
  <si>
    <t>7월 7일 발표
7월 15일 무역협상 타결</t>
    <phoneticPr fontId="1" type="noConversion"/>
  </si>
  <si>
    <t>인도네시아, 무역협상 타결
 - 인도네시아산 제품 대상 상호관세 32%(7월 7일 서한 기준) → 19%
 - 인도네시아는 베트남과 마찬가지로 미국산 제품 무관세 적용</t>
    <phoneticPr fontId="1" type="noConversion"/>
  </si>
  <si>
    <t>Indonesia, a trade deal agreement 
 - 32% reciprocal tariff on Indonesian goods  (As of Jul 7)  → 19%
 - Like Vietnam, no tariffs on U.S. goods in Indonesia</t>
    <phoneticPr fontId="1" type="noConversion"/>
  </si>
  <si>
    <t xml:space="preserve">Official elimination of De Minimis duty-free treatment applied to imports from all countries 
 - The exemption for the small parcels valued under $800 will end permanently on Jul 1, 2027 (expansion from China to worldwide)
 - Included in the "One Big Beautiful Bill Act (OBBBA)" signed by President Trump on Jul 4 </t>
    <phoneticPr fontId="1" type="noConversion"/>
  </si>
  <si>
    <t>중국/홍콩발 800달러 이하 소포 대상 관세율 인상
 - 종가세: 제품가격의 120%, 5월 2일부터 발효
 - 종량세: 품목당 100달러, 5월 2일부터 발효 → 품목당 200달러, 6월 1일부터 발효</t>
    <phoneticPr fontId="1" type="noConversion"/>
  </si>
  <si>
    <t>Raised tariffs on small parcels valued under $800 from China/Hong Kong
 - Ad Valorem tax: 120% of product price, effective from May 2
 - Specific tax: $100 by item, effective from May 2 → $200 by item, effective from Jun 1</t>
    <phoneticPr fontId="1" type="noConversion"/>
  </si>
  <si>
    <t>2025.07.22</t>
    <phoneticPr fontId="1" type="noConversion"/>
  </si>
  <si>
    <t>일본</t>
    <phoneticPr fontId="1" type="noConversion"/>
  </si>
  <si>
    <t>7월 7일 발표
7월 22일 무역협상 타결</t>
    <phoneticPr fontId="1" type="noConversion"/>
  </si>
  <si>
    <t>7월 9일 발표
7월 22일 무역협상 타결</t>
    <phoneticPr fontId="1" type="noConversion"/>
  </si>
  <si>
    <r>
      <t>자동차관세 25%</t>
    </r>
    <r>
      <rPr>
        <sz val="11"/>
        <color theme="1"/>
        <rFont val="맑은 고딕"/>
        <family val="3"/>
        <charset val="129"/>
      </rPr>
      <t>→</t>
    </r>
    <r>
      <rPr>
        <sz val="11"/>
        <color theme="1"/>
        <rFont val="맑은 고딕"/>
        <family val="2"/>
        <charset val="129"/>
      </rPr>
      <t>12.5%로 인하 합의
기존 2.5%관세+12.5%=15%로 합의</t>
    </r>
    <phoneticPr fontId="1" type="noConversion"/>
  </si>
  <si>
    <t>2025.07.27</t>
    <phoneticPr fontId="1" type="noConversion"/>
  </si>
  <si>
    <t>필리핀, 무역협상 타결
 - 필리핀 상호관세 20%(7월 9일 기준) → 19%로 인하
 - 미국산 제품 무관세 적용
일본, 무역협상 타결
 - 일본 상호관세 25%(7월 7일 기준) → 15%로 인하
 - 일본산 자동차 및 자동차부품 대상 15% 관세율 적용</t>
    <phoneticPr fontId="1" type="noConversion"/>
  </si>
  <si>
    <t>7월 12일 발표
7월 27일 무역협상 타결</t>
    <phoneticPr fontId="1" type="noConversion"/>
  </si>
  <si>
    <t>알제리</t>
    <phoneticPr fontId="1" type="noConversion"/>
  </si>
  <si>
    <t>앙골라</t>
    <phoneticPr fontId="1" type="noConversion"/>
  </si>
  <si>
    <t>방글라데시</t>
    <phoneticPr fontId="1" type="noConversion"/>
  </si>
  <si>
    <t>보스니아 헤르체고비나</t>
    <phoneticPr fontId="1" type="noConversion"/>
  </si>
  <si>
    <t>보츠와나</t>
    <phoneticPr fontId="1" type="noConversion"/>
  </si>
  <si>
    <t>브라질</t>
    <phoneticPr fontId="1" type="noConversion"/>
  </si>
  <si>
    <t>브루나이</t>
    <phoneticPr fontId="1" type="noConversion"/>
  </si>
  <si>
    <t>캐나다</t>
    <phoneticPr fontId="1" type="noConversion"/>
  </si>
  <si>
    <t>캄보디아</t>
    <phoneticPr fontId="1" type="noConversion"/>
  </si>
  <si>
    <t>카메룬</t>
    <phoneticPr fontId="1" type="noConversion"/>
  </si>
  <si>
    <t>차드</t>
    <phoneticPr fontId="1" type="noConversion"/>
  </si>
  <si>
    <t>중국</t>
    <phoneticPr fontId="1" type="noConversion"/>
  </si>
  <si>
    <t>코트디부아르</t>
    <phoneticPr fontId="1" type="noConversion"/>
  </si>
  <si>
    <t>콩고</t>
    <phoneticPr fontId="1" type="noConversion"/>
  </si>
  <si>
    <t>적도 기니</t>
    <phoneticPr fontId="1" type="noConversion"/>
  </si>
  <si>
    <t>유럽연합</t>
    <phoneticPr fontId="1" type="noConversion"/>
  </si>
  <si>
    <t>포클랜드 제도</t>
    <phoneticPr fontId="1" type="noConversion"/>
  </si>
  <si>
    <t>피지</t>
    <phoneticPr fontId="1" type="noConversion"/>
  </si>
  <si>
    <t>가이아나</t>
    <phoneticPr fontId="1" type="noConversion"/>
  </si>
  <si>
    <t>인도</t>
    <phoneticPr fontId="1" type="noConversion"/>
  </si>
  <si>
    <t>인도네시아</t>
    <phoneticPr fontId="1" type="noConversion"/>
  </si>
  <si>
    <t>이라크</t>
    <phoneticPr fontId="1" type="noConversion"/>
  </si>
  <si>
    <t>이스라엘</t>
    <phoneticPr fontId="1" type="noConversion"/>
  </si>
  <si>
    <t>일본</t>
    <phoneticPr fontId="1" type="noConversion"/>
  </si>
  <si>
    <t>요르단</t>
    <phoneticPr fontId="1" type="noConversion"/>
  </si>
  <si>
    <t>카자흐스탄</t>
    <phoneticPr fontId="1" type="noConversion"/>
  </si>
  <si>
    <t>라오스</t>
    <phoneticPr fontId="1" type="noConversion"/>
  </si>
  <si>
    <t>레소토</t>
    <phoneticPr fontId="1" type="noConversion"/>
  </si>
  <si>
    <t>리비아</t>
    <phoneticPr fontId="1" type="noConversion"/>
  </si>
  <si>
    <t>리히텐슈타인</t>
    <phoneticPr fontId="1" type="noConversion"/>
  </si>
  <si>
    <t>마다가스카르</t>
    <phoneticPr fontId="1" type="noConversion"/>
  </si>
  <si>
    <t>말라위</t>
    <phoneticPr fontId="1" type="noConversion"/>
  </si>
  <si>
    <t>말레이시아</t>
    <phoneticPr fontId="1" type="noConversion"/>
  </si>
  <si>
    <t>모리셔스</t>
    <phoneticPr fontId="1" type="noConversion"/>
  </si>
  <si>
    <t>멕시코</t>
    <phoneticPr fontId="1" type="noConversion"/>
  </si>
  <si>
    <t>몰도바</t>
    <phoneticPr fontId="1" type="noConversion"/>
  </si>
  <si>
    <t>모잠비크</t>
    <phoneticPr fontId="1" type="noConversion"/>
  </si>
  <si>
    <t>미얀마</t>
    <phoneticPr fontId="1" type="noConversion"/>
  </si>
  <si>
    <t>Namibia</t>
    <phoneticPr fontId="1" type="noConversion"/>
  </si>
  <si>
    <t>나미비아</t>
    <phoneticPr fontId="1" type="noConversion"/>
  </si>
  <si>
    <t>Nauru</t>
    <phoneticPr fontId="1" type="noConversion"/>
  </si>
  <si>
    <t>나우루</t>
    <phoneticPr fontId="1" type="noConversion"/>
  </si>
  <si>
    <t>니카라과</t>
    <phoneticPr fontId="1" type="noConversion"/>
  </si>
  <si>
    <t>나이지리아</t>
    <phoneticPr fontId="1" type="noConversion"/>
  </si>
  <si>
    <t>북마케도니아</t>
    <phoneticPr fontId="1" type="noConversion"/>
  </si>
  <si>
    <t>노르웨이</t>
    <phoneticPr fontId="1" type="noConversion"/>
  </si>
  <si>
    <t>파키스탄</t>
    <phoneticPr fontId="1" type="noConversion"/>
  </si>
  <si>
    <t>필리핀</t>
    <phoneticPr fontId="1" type="noConversion"/>
  </si>
  <si>
    <t>세르비아</t>
    <phoneticPr fontId="1" type="noConversion"/>
  </si>
  <si>
    <t>남아프리카공화국</t>
    <phoneticPr fontId="1" type="noConversion"/>
  </si>
  <si>
    <t>대한민국</t>
    <phoneticPr fontId="1" type="noConversion"/>
  </si>
  <si>
    <t>스리랑카</t>
    <phoneticPr fontId="1" type="noConversion"/>
  </si>
  <si>
    <t>스위스</t>
    <phoneticPr fontId="1" type="noConversion"/>
  </si>
  <si>
    <t>시리아</t>
    <phoneticPr fontId="1" type="noConversion"/>
  </si>
  <si>
    <t>대만</t>
    <phoneticPr fontId="1" type="noConversion"/>
  </si>
  <si>
    <t>태국</t>
    <phoneticPr fontId="1" type="noConversion"/>
  </si>
  <si>
    <t>튀니지</t>
    <phoneticPr fontId="1" type="noConversion"/>
  </si>
  <si>
    <t>바누아투</t>
    <phoneticPr fontId="1" type="noConversion"/>
  </si>
  <si>
    <t>베네수엘라</t>
    <phoneticPr fontId="1" type="noConversion"/>
  </si>
  <si>
    <t>베트남</t>
    <phoneticPr fontId="1" type="noConversion"/>
  </si>
  <si>
    <t>잠비아</t>
    <phoneticPr fontId="1" type="noConversion"/>
  </si>
  <si>
    <t>짐바브웨</t>
    <phoneticPr fontId="1" type="noConversion"/>
  </si>
  <si>
    <t>25%
(쿼터제 예정)</t>
    <phoneticPr fontId="1" type="noConversion"/>
  </si>
  <si>
    <t>2025.07.30</t>
    <phoneticPr fontId="1" type="noConversion"/>
  </si>
  <si>
    <t>한국, 무역협상 타결
 - 한국 상호관세 25%(7월 7일 기준) → 15%로 인하</t>
    <phoneticPr fontId="1" type="noConversion"/>
  </si>
  <si>
    <r>
      <t>전 세계 모든 국가로부터의 수입품에 적용하던 ‘</t>
    </r>
    <r>
      <rPr>
        <sz val="10"/>
        <color rgb="FFFF0000"/>
        <rFont val="나눔스퀘어"/>
        <family val="3"/>
        <charset val="129"/>
      </rPr>
      <t>드</t>
    </r>
    <r>
      <rPr>
        <sz val="10"/>
        <color theme="1"/>
        <rFont val="나눔스퀘어"/>
        <family val="3"/>
        <charset val="129"/>
      </rPr>
      <t xml:space="preserve"> 미니미스(De Minimis)’ 면세 혜택을 공식적으로 종료
  - $800 이하 소형 화물에 부과되지 않던 관세 면제는 2027년 7월 1일부로 완전히 종료 예정(중국발 → 전세계로 확대)
  - 7월 4일 트럼프 대통령이 서명한 '하나의 크고 아름다운 법안'(One Big Beautiful Bill Act·OBBBA)에 담긴 법안에 포함</t>
    </r>
    <phoneticPr fontId="1" type="noConversion"/>
  </si>
  <si>
    <t>전세계 대상 '드 미니미스(De Minimis)' 면세 혜택 중단하는 행정명령 발표
 - 지난 7월 4일 통과된 OBBBA법안 기준으로 2027년 7월부터 적용 예정이었으나 시행 시기를 앞당김
 - 종가세 또는 종량세 중 선택하지만 발효 6개월 이후부터 종가세 기준으로 부과 예정
 - 종가세 : 출발지 국가의 신규 상호관세율
    종량세 : 상호관세율 16% 미만         품목당  $80
                                     16~25% 이하 품목당 $160
                                     25% 초과        품목당 $200
 - 8월 29일 발효</t>
    <phoneticPr fontId="1" type="noConversion"/>
  </si>
  <si>
    <t>유럽연합(EU), 무역협상 타결
 - EU산 제품 상호관세 30%(7월 12일 기준) → 15%로 합의
 - 양측 일부 전략적 품목(항공기/반도체 장비 등)에 대한 상호 무관세 합의
 - EU산 자동차, 자동차 부품, 의약품, 반도체 대상 관세율 15% 적용</t>
    <phoneticPr fontId="1" type="noConversion"/>
  </si>
  <si>
    <t>2025.07.31</t>
    <phoneticPr fontId="1" type="noConversion"/>
  </si>
  <si>
    <t>https://www.whitehouse.gov/presidential-actions/2025/07/addressing-threats-to-the-us/</t>
    <phoneticPr fontId="1" type="noConversion"/>
  </si>
  <si>
    <t>관련 링크</t>
    <phoneticPr fontId="1" type="noConversion"/>
  </si>
  <si>
    <t>https://www.whitehouse.gov/presidential-actions/2025/07/adjusting-imports-of-copper-into-the-united-states/</t>
    <phoneticPr fontId="1" type="noConversion"/>
  </si>
  <si>
    <t>브라질, 상호관세 추가 40% 부과 행정명령 발표
 - 기존 보편관세 10% + 40% 더해져 최종 50% 적용
 - 항공기, 에너지, 목재 펄프, 오렌지 주스 등 추가 관세 부과에서 제외
 - 8월 6일 발효</t>
    <phoneticPr fontId="1" type="noConversion"/>
  </si>
  <si>
    <t>품목관세</t>
    <phoneticPr fontId="1" type="noConversion"/>
  </si>
  <si>
    <t>자동차/자동차부품</t>
    <phoneticPr fontId="1" type="noConversion"/>
  </si>
  <si>
    <t>구리</t>
    <phoneticPr fontId="1" type="noConversion"/>
  </si>
  <si>
    <t>Afghanistan</t>
  </si>
  <si>
    <t>Algeria</t>
  </si>
  <si>
    <t>Bolivia</t>
  </si>
  <si>
    <t>Bosnia and Herzegovina</t>
  </si>
  <si>
    <t>Brazil</t>
  </si>
  <si>
    <t>Brunei</t>
  </si>
  <si>
    <t>Costa Rica</t>
  </si>
  <si>
    <t>Côte d`Ivoire</t>
  </si>
  <si>
    <t>Democratic Republic of the Congo</t>
  </si>
  <si>
    <t>Ecuador</t>
  </si>
  <si>
    <t>Equatorial Guinea</t>
  </si>
  <si>
    <t>Falkland Islands</t>
  </si>
  <si>
    <t>Ghana</t>
  </si>
  <si>
    <t>Iceland</t>
  </si>
  <si>
    <t>Iraq</t>
  </si>
  <si>
    <t>Libya</t>
  </si>
  <si>
    <t>Moldova</t>
  </si>
  <si>
    <t>Myanmar (Burma)</t>
  </si>
  <si>
    <t>Namibia</t>
  </si>
  <si>
    <t>Nauru</t>
  </si>
  <si>
    <t>New Zealand</t>
  </si>
  <si>
    <t>North Macedonia</t>
  </si>
  <si>
    <t>Papua New Guinea</t>
  </si>
  <si>
    <t>Philippines</t>
  </si>
  <si>
    <t>South Africa</t>
  </si>
  <si>
    <t>South Korea</t>
  </si>
  <si>
    <t>Sri Lanka</t>
  </si>
  <si>
    <t>Trinidad and Tobago</t>
  </si>
  <si>
    <t>Turkey</t>
  </si>
  <si>
    <t>Uganda</t>
  </si>
  <si>
    <t>United Kingdom</t>
  </si>
  <si>
    <t>아프가니스탄</t>
  </si>
  <si>
    <t>알제리</t>
  </si>
  <si>
    <t>앙골라</t>
  </si>
  <si>
    <t>방글라데시</t>
  </si>
  <si>
    <t>볼리비아</t>
  </si>
  <si>
    <t>보스니아 헤르체고비나</t>
  </si>
  <si>
    <t>보츠와나</t>
  </si>
  <si>
    <t>브라질</t>
  </si>
  <si>
    <t>브루나이</t>
  </si>
  <si>
    <t>캄보디아</t>
  </si>
  <si>
    <t>카메룬</t>
  </si>
  <si>
    <t>차드</t>
  </si>
  <si>
    <t>코스타리카</t>
  </si>
  <si>
    <t>코트디부아르</t>
  </si>
  <si>
    <t>콩고민주공화국</t>
  </si>
  <si>
    <t>에콰도르</t>
  </si>
  <si>
    <t>적도 기니</t>
  </si>
  <si>
    <t>포클랜드 제도</t>
  </si>
  <si>
    <t>피지</t>
  </si>
  <si>
    <t>가나</t>
  </si>
  <si>
    <t>가이아나</t>
  </si>
  <si>
    <t>아이슬란드</t>
  </si>
  <si>
    <t>인도</t>
  </si>
  <si>
    <t>인도네시아</t>
  </si>
  <si>
    <t>이라크</t>
  </si>
  <si>
    <t>이스라엘</t>
  </si>
  <si>
    <t>일본</t>
  </si>
  <si>
    <t>요르단</t>
  </si>
  <si>
    <t>카자흐스탄</t>
  </si>
  <si>
    <t>라오스</t>
  </si>
  <si>
    <t>레소토</t>
  </si>
  <si>
    <t>리비아</t>
  </si>
  <si>
    <t>리히텐슈타인</t>
  </si>
  <si>
    <t>마다가스카르</t>
  </si>
  <si>
    <t>말라위</t>
  </si>
  <si>
    <t>말레이시아</t>
  </si>
  <si>
    <t>모리셔스</t>
  </si>
  <si>
    <t>몰도바</t>
  </si>
  <si>
    <t>모잠비크</t>
  </si>
  <si>
    <t>미얀마</t>
  </si>
  <si>
    <t>나미비아</t>
  </si>
  <si>
    <t>나우루</t>
  </si>
  <si>
    <t>뉴질랜드</t>
  </si>
  <si>
    <t>니카라과</t>
  </si>
  <si>
    <t>나이지리아</t>
  </si>
  <si>
    <t>북마케도니아</t>
  </si>
  <si>
    <t>노르웨이</t>
  </si>
  <si>
    <t>파키스탄</t>
  </si>
  <si>
    <t>파푸아뉴기니</t>
  </si>
  <si>
    <t>필리핀</t>
  </si>
  <si>
    <t>세르비아</t>
  </si>
  <si>
    <t>남아프리카공화국</t>
  </si>
  <si>
    <t>스리랑카</t>
  </si>
  <si>
    <t>스위스</t>
  </si>
  <si>
    <t>시리아</t>
  </si>
  <si>
    <t>대만</t>
  </si>
  <si>
    <t>태국</t>
  </si>
  <si>
    <t>트리니다드 토바고</t>
  </si>
  <si>
    <t>튀니지</t>
  </si>
  <si>
    <t>우간다</t>
  </si>
  <si>
    <t>영국</t>
  </si>
  <si>
    <t>바누아투</t>
  </si>
  <si>
    <t>베네수엘라</t>
  </si>
  <si>
    <t>베트남</t>
  </si>
  <si>
    <t>잠비아</t>
  </si>
  <si>
    <t>짐바브웨</t>
  </si>
  <si>
    <t>European Union</t>
    <phoneticPr fontId="1" type="noConversion"/>
  </si>
  <si>
    <t>유럽연합</t>
    <phoneticPr fontId="1" type="noConversion"/>
  </si>
  <si>
    <t>튀르키예</t>
    <phoneticPr fontId="1" type="noConversion"/>
  </si>
  <si>
    <t>국가</t>
    <phoneticPr fontId="1" type="noConversion"/>
  </si>
  <si>
    <t>상호관세</t>
    <phoneticPr fontId="1" type="noConversion"/>
  </si>
  <si>
    <t>https://www.yna.co.kr/view/AKR20250801000751087?section=international/all
https://www.whitehouse.gov/presidential-actions/2025/07/amendment-to-duties-to-address-the-flow-of-illicit-drugs-across-our-northern-border-9350/</t>
    <phoneticPr fontId="1" type="noConversion"/>
  </si>
  <si>
    <t>https://www.whitehouse.gov/presidential-actions/2025/07/further-modifying-the-reciprocal-tariff-rates/</t>
    <phoneticPr fontId="1" type="noConversion"/>
  </si>
  <si>
    <t>https://www.whitehouse.gov/presidential-actions/2025/08/addressing-threats-to-the-united-states-by-the-government-of-the-russian-federation/</t>
  </si>
  <si>
    <t>2025.08.06</t>
    <phoneticPr fontId="1" type="noConversion"/>
  </si>
  <si>
    <t>멕시코, 90일 관세 유예
 - 펜타닐 관세 25%, 자동차/자동차부품 25%, 철강/알루미늄 및 구리 50% 관세 유지
 - USMCA 협정 조건 충족 품목 무관세 적용
캐나다, 펜타닐 관세 25% → 35% 인상
 - USMCA 협정 조건 충족 품목 무관세 적용
 - 8월 1일 발효</t>
    <phoneticPr fontId="1" type="noConversion"/>
  </si>
  <si>
    <t>인도, 러시아산 석유 수입 이유로 추가 관세 25% 부과하는 행정명령 발표
 - 8월 27일 발효
 - 8월 7일부터 신규 상호관세율 25% 적용, 8월 27일부터 총 50%(25%+25%) 관세율 적용</t>
    <phoneticPr fontId="1" type="noConversion"/>
  </si>
  <si>
    <t>국가별 신규 상호관세 발표
 - 69개국(유럽연합 포함) 대상 신규 상호관세율 발표
  : 한국 15%, 일본 15%, 필리핀 19%,  태국 19%, 대만 20% 등
 - 행정령명에 언급되지 않은 국가는 기본 10% 적용
 - 관세 회피 목적으로 환적시 40% 관세 적용 (6개월마다 우회 수입이 발생한 국가/업체 발표)
 - 한국, 일본 등 상기 언급된 국가들의 신규 상호관세는 8월 7일 발효 및 적용
   ※ 7일 0시 1분 이후 선적됐거나 10월 5일 이후 미국 도착 및 통관시 신규 상호 관세율 적용</t>
    <phoneticPr fontId="1" type="noConversion"/>
  </si>
  <si>
    <t>자동차/부품</t>
    <phoneticPr fontId="1" type="noConversion"/>
  </si>
  <si>
    <t>한국</t>
    <phoneticPr fontId="1" type="noConversion"/>
  </si>
  <si>
    <t>* 유지</t>
    <phoneticPr fontId="1" type="noConversion"/>
  </si>
  <si>
    <t>* USMCA충족시 0%</t>
    <phoneticPr fontId="1" type="noConversion"/>
  </si>
  <si>
    <t>* 관세발효 6/30</t>
    <phoneticPr fontId="1" type="noConversion"/>
  </si>
  <si>
    <t>https://www.whitehouse.gov/presidential-actions/2025/08/further-modifying-reciprocal-tariff-rates-to-reflect-ongoing-discussions-with-the-peoples-republic-of-china/</t>
  </si>
  <si>
    <t>2025.08.11</t>
    <phoneticPr fontId="1" type="noConversion"/>
  </si>
  <si>
    <t>미-중 관세 휴전 90일 연장
 - 미국의 대중 관세율 30%(펜타닐 관세 20% 포함), 중국의 대미 관세율 10% 유지
 - 11월 9일까지 유효</t>
    <phoneticPr fontId="1" type="noConversion"/>
  </si>
  <si>
    <r>
      <t>구리 반제품 및 파생</t>
    </r>
    <r>
      <rPr>
        <sz val="10"/>
        <color rgb="FFFF0000"/>
        <rFont val="나눔스퀘어"/>
        <family val="3"/>
        <charset val="129"/>
      </rPr>
      <t>제</t>
    </r>
    <r>
      <rPr>
        <sz val="10"/>
        <rFont val="나눔스퀘어"/>
        <family val="3"/>
        <charset val="129"/>
      </rPr>
      <t>품 대상 관세 50% 부과하는 행정명령 발표
 - 제품내 구리 함량에만 적용되며, 非구리성분에는 기존 상호관세 등의 관세율을 적용
 - 8월 1일 발효</t>
    </r>
    <phoneticPr fontId="1" type="noConversion"/>
  </si>
  <si>
    <t>2025.08.15</t>
    <phoneticPr fontId="1" type="noConversion"/>
  </si>
  <si>
    <t>https://www.kita.net/researchTrade/report/tradeBrief/tradeBriefDetail.do?no=2866</t>
    <phoneticPr fontId="1" type="noConversion"/>
  </si>
  <si>
    <t>미 상무부, 철강/알루미늄 파생제품에 407개 품목 추가
 - 주요 영향 품목은 변압기, 가전제품, 건설기계, 자동차 부품, 화장품 등
 - 가전제품 냉장/냉동고는 철강 파생제품에 이어 알루미늄 파생제품에도 추가,
    자동차 부품의 엔진, 기타 부품 등(기존 자동차 부품 관세 대상에 미포함된 품목)이 철강 파생제품에 다수 추가
 - 철강/알루미늄 함량 가치에 대해 50%, 그외는 상호관세 적용(한국 15%)
 - 알루미늄 파생제품은 알루미늄의 제련/주조국이 러시아가 아님을 입증하지 못할 경우 200% 관세 부과 가능
 - 8월 18일부터 발효(8월 18일 전에 선적된 품목에 대한 예외 없음)</t>
    <phoneticPr fontId="1" type="noConversion"/>
  </si>
  <si>
    <t>2025.08.21</t>
    <phoneticPr fontId="1" type="noConversion"/>
  </si>
  <si>
    <t>https://www.whitehouse.gov/briefings-statements/2025/08/joint-statement-on-a-united-states-european-union-framework-on-an-agreement-on-reciprocal-fair-and-balanced-trade/</t>
  </si>
  <si>
    <t>미국-유럽연합(EU), 무역합의 내용 공동성명 발표
 - 의약품, 반도체, 목재 대상 품목관세 부과시 EU산 제품은 15%를 넘지 않도록 보장
 - EU산 자동차/자동차부품 관세 15% 적용(무역합의에 대한 EU의 입법안 마련시 발효 예정)
 - 철강/알루미늄 및 파생제품 대상 관세할당제(TRQ) 방안 검토 예정</t>
    <phoneticPr fontId="1" type="noConversion"/>
  </si>
  <si>
    <t>U.S.–European Union (EU) Joint Statement on Trade Agreement
 - When imposing item-specific tariffs on pharmaceuticals, semiconductors, and lumber, tariffs on EU products will be capped at no more than 15%
 - A 15% tariff will apply to EU automobiles and auto parts (to take effect once the EU prepares legislation implementing the trade agreement)
 - Plans to review a tariff-rate quota (TRQ) system for steel, aluminum, and derivative products</t>
    <phoneticPr fontId="1" type="noConversion"/>
  </si>
  <si>
    <t>2025.08.31</t>
    <phoneticPr fontId="1" type="noConversion"/>
  </si>
  <si>
    <t>미 연방 항소법원, IEEPA 기반 관세 부과 위헌 판결
 - 이번 판결 효력 발생은 10월 14일부터 발생
 - IEEPA 근거한 상호관세 등에 한정되며, 무역확장법 기반의 품목관세는 유지
 - 연방 대법원에서 최종 결론을 내릴 것으로 예상</t>
    <phoneticPr fontId="1" type="noConversion"/>
  </si>
  <si>
    <t>https://n.news.naver.com/article/021/0002732880</t>
    <phoneticPr fontId="1" type="noConversion"/>
  </si>
  <si>
    <t>2025.09.04</t>
    <phoneticPr fontId="1" type="noConversion"/>
  </si>
  <si>
    <t>https://www.whitehouse.gov/presidential-actions/2025/09/implementing-the-united-states-japan-agreement/
https://www.koreadaily.com/article/20250904152549097?utm_source=chatgpt.com</t>
    <phoneticPr fontId="1" type="noConversion"/>
  </si>
  <si>
    <t>미-일 무역합의에 대한 행정명령 발표
 - 자동차/부품 관세 15% 적용
 - 일본의 상호관세에 대해 기존관세+15%(8월 7일 발효 기준)에서 기존관세+상호관세가 최대 15%를 넘지 않도록 변경
   * 유럽연합(EU)과 동일한 대우
 - 연방관보 게시 후 7일내 발효 예정</t>
    <phoneticPr fontId="1" type="noConversion"/>
  </si>
  <si>
    <t>Administrative Order on the U.S.-Japan Trade Agreement
 - A 15% tariff will be applied to automobiles and auto parts
 - For Japan’s reciprocal tariffs, the previous rule of “existing tariff + 15% (effective August 7)” will be revised so that the combined existing tariff and reciprocal tariff does not exceed 15%. This grants Japan the same treatment as the European Union (EU)
 - The order is scheduled to take effect within 7 days after its publication in the Federal Register</t>
    <phoneticPr fontId="1" type="noConversion"/>
  </si>
  <si>
    <t>2025.09.10</t>
    <phoneticPr fontId="1" type="noConversion"/>
  </si>
  <si>
    <t>https://abcnews.go.com/Business/wireStory/mexicos-new-tariffs-asian-imports-aim-counter-us-125465482</t>
  </si>
  <si>
    <t>멕시코, FTA 미체결 국가 대상 관세 최대 50% 부과 예고 (멕시코 의회 승인시 적용 예정)
 - 자국 생산을 강화하고 미국의 관세 효과에 대응하기 위한 목적
 - FTA 미체결 국가인 중국, 한국, 인도, 인도네시아, 태국, 터키 등 영향 예상
 - 관세 부과 대상으로는 자동차/부품, 섬유, 신발, 플라스틱, 전자제품, 장난감 등</t>
    <phoneticPr fontId="1" type="noConversion"/>
  </si>
  <si>
    <t>* 관세발효 9/16</t>
    <phoneticPr fontId="1" type="noConversion"/>
  </si>
  <si>
    <t>* 관세율 15% 시행 공식 발표 9/25, 
8/1일부터 소급 적용</t>
    <phoneticPr fontId="1" type="noConversion"/>
  </si>
  <si>
    <t>2025.09.25</t>
    <phoneticPr fontId="1" type="noConversion"/>
  </si>
  <si>
    <t>https://www.hankyung.com/article/202509269354i</t>
  </si>
  <si>
    <t>2025.09.29</t>
    <phoneticPr fontId="1" type="noConversion"/>
  </si>
  <si>
    <t>https://www.whitehouse.gov/presidential-actions/2025/09/adjusting-imports-of-timber-lumber-and-their-derivative-products-into-the-united-states/
https://www.yna.co.kr/view/AKR20250930080600071?section=international/correspondents/washington</t>
    <phoneticPr fontId="1" type="noConversion"/>
  </si>
  <si>
    <t>목재</t>
    <phoneticPr fontId="1" type="noConversion"/>
  </si>
  <si>
    <t>원목/제재목 10%
실내 장식 가구 25%
주방 가구 25%</t>
    <phoneticPr fontId="1" type="noConversion"/>
  </si>
  <si>
    <t>* 관세 발효 10/14</t>
    <phoneticPr fontId="1" type="noConversion"/>
  </si>
  <si>
    <t>최대 15%</t>
    <phoneticPr fontId="1" type="noConversion"/>
  </si>
  <si>
    <t>최대 10%</t>
    <phoneticPr fontId="1" type="noConversion"/>
  </si>
  <si>
    <t>목재 및 파생제품에 대한 행정명령 발표
 - 수입산 원목 및 제재목 10%, 실내 가구(소파 등 천을 씌운 목재 제품)와 주방 가구(주방 찬장, 세면대 등) 25% 관세 부과
 - 지난 무역협상 결과에 따라 영국산은 최대 10%, 일본/유럽산은 최대 15%까지만 적용
 - 2026년 1월 1일부터 미국과 무역협정 미체결 국가는 실내 가구 25%→30%, 주방 가구 25%→50%로 관세 증가
 - 10월 14일 발효</t>
    <phoneticPr fontId="1" type="noConversion"/>
  </si>
  <si>
    <t>의약품 100%, 대형 트럭 25%, 주방/욕실용품 50%, 가구 30% 관세 부과 발표
 - 의약품은 미국내 생산시설이 없는 기업의 의약품을 대상으로 함(현재 건설 중인 경우 관세 제외)
 - 10월 1일 발효 예정</t>
    <phoneticPr fontId="1" type="noConversion"/>
  </si>
  <si>
    <t>2025.10.06</t>
    <phoneticPr fontId="1" type="noConversion"/>
  </si>
  <si>
    <t>https://www.joongang.co.kr/article/25372368</t>
    <phoneticPr fontId="1" type="noConversion"/>
  </si>
  <si>
    <t>수입산 중·대형 트럭에 25% 관세 부과 발표
 - 관세 부과 대상으로 중형 트럭은 총중량 14,001~26,000파운드(약 6,350~11,793kg), 대형 트럭은 총중량 26,001파운드 (약11,794kg)이상 해당   
 - 무역합의에 따라 자동차 관세율을 낮춘(25%→15%) 한국/일본/유럽연합도 25% 관세율 적용받을 가능성이 높다고 전망
 - 11월 1일 발효 (기존 관세 부과 발효 시점인 10월 1일에서 연기)</t>
    <phoneticPr fontId="1" type="noConversion"/>
  </si>
  <si>
    <t>2025.10.17</t>
    <phoneticPr fontId="1" type="noConversion"/>
  </si>
  <si>
    <t>https://www.whitehouse.gov/presidential-actions/2025/10/adjusting-imports-of-medium-and-heavy-duty-vehicles-medium-and-heavy-duty-vehicle-parts-and-buses-into-the-united-states/</t>
    <phoneticPr fontId="1" type="noConversion"/>
  </si>
  <si>
    <t>MEDIUM- AND HEAVY-DUTY VEHICLES, MEDIUM- AND HEAVY-DUTY VEHICLE PARTS, AND BUSES-DUTY VEHICLES, MEDIUM- AND HEAVY-DUTY VEHICLE PARTS, AND BUSES</t>
    <phoneticPr fontId="1" type="noConversion"/>
  </si>
  <si>
    <t>수입산 중·대형 차량, 중·대형 차량 부품, 버스에 대한 행정명령 발표
 - 중·대형 차량, 중·대형 차량 부품 대상 25%, 버스(HTSUS 8702로 분류되는 차량) 10% 관세 부과
   (단, 수입일 기준 제조 연식이 25년 이상된 차량의 경우 미적용)
 - USMCA 적용되는 중·대형 차량은 비(非)미국산 가치에 대해서만 25% 관세 적용, 부품은 별도 절차 마련 전까지 관세 면제
 - 11월 1일 발효</t>
    <phoneticPr fontId="1" type="noConversion"/>
  </si>
  <si>
    <t>* 관세 발효 11/1</t>
    <phoneticPr fontId="1" type="noConversion"/>
  </si>
  <si>
    <t>중∙대형 트럭/부품 25%
버스 10%</t>
    <phoneticPr fontId="1" type="noConversion"/>
  </si>
  <si>
    <t>https://www.federalregister.gov/documents/2025/10/16/2025-19568/notice-of-modification-and-proposed-modification-of-section-301-action-chinas-targeting-of-the?utm_source=chatgpt.com
https://ustr.gov/about/policy-offices/press-office/press-releases/2025/october/ustr-modifies-certain-aspects-section-301-ships-action-and-proposes-further-modifications-action?utm_source=chatgpt.com</t>
    <phoneticPr fontId="1" type="noConversion"/>
  </si>
  <si>
    <t>2025.10.10</t>
    <phoneticPr fontId="1" type="noConversion"/>
  </si>
  <si>
    <t>USTR, 중국산 STS 크레인(Ship-to-Shore Crane), 인터모달 샤시(Intermodal Chassis) 대상 100% 관세 부과 발표
 - 중국산(제조/조립)이거나 중국산 부품이 포함된 경우 추가 관세 100% 부과
 - 2025년 4월 17일 이전 계약하고 2027년 4월 18일 이전 수입되는 경우 추가 관세 대상에서 제외
 - 11월 9일 발효</t>
    <phoneticPr fontId="1" type="noConversion"/>
  </si>
  <si>
    <t>2025.10.29</t>
    <phoneticPr fontId="1" type="noConversion"/>
  </si>
  <si>
    <t>한-미 관세협상 세부사항에 합의
 - 자동차/자동차부품 : 관세 25%→15% 인하 
    ※ 관련 법안이 대한민국 국회에 제출되는 달의 첫날부터 소급 적용 (이르면 11월내 관세 인하 적용 가능)
 - 반도체 : 대만 대비 불리하지 않은 수준의 관세 부과
 - 의약품(복제약 제외)/목재 : 최혜국 대우
 - 항공기부품/의약품(복제약)/미국내 생산되지 않는 천연자원 등 무관세 적용</t>
    <phoneticPr fontId="1" type="noConversion"/>
  </si>
  <si>
    <t>https://www.korea.kr/news/policyNewsView.do?newsId=148953418</t>
    <phoneticPr fontId="1" type="noConversion"/>
  </si>
  <si>
    <t>2025.10.30</t>
    <phoneticPr fontId="1" type="noConversion"/>
  </si>
  <si>
    <t>미중정상회담 결과, 펜타닐 관세 10%p 인하, 수출통제 유예 합의
 - 미국은 중국에 부과해온 펜타닐 관세를 20% → 10%로 인하
 - 중국은 미국산 대두 구입 재개 및 희토류 수출통제를 1년간 유예</t>
    <phoneticPr fontId="1" type="noConversion"/>
  </si>
  <si>
    <t>https://www.yna.co.kr/view/AKR20251030177651009</t>
  </si>
  <si>
    <t>미중정상회담 결과, 상호관세 휴전 연장 및 해운/조선업 대상 수수료 부과 조치 중단 합의
 - 양국 항만 수수료 부과 조치 1년간 유예
 - 중국산(홍콩/마카오 포함) 상품에 대한 상호관세 24% 1년간 유예 (중국 상무부 발표)
    ※ 양국 합의한 관세 발효시, 대중 관세율은 펜타닐 관세 10% + 상호관세 10% = 20% 관세 적용 예정</t>
    <phoneticPr fontId="1" type="noConversion"/>
  </si>
  <si>
    <r>
      <t>중</t>
    </r>
    <r>
      <rPr>
        <b/>
        <sz val="11"/>
        <rFont val="바탕체"/>
        <family val="1"/>
        <charset val="129"/>
      </rPr>
      <t>∙</t>
    </r>
    <r>
      <rPr>
        <b/>
        <sz val="11"/>
        <rFont val="맑은 고딕"/>
        <family val="3"/>
        <charset val="129"/>
        <scheme val="minor"/>
      </rPr>
      <t>대형 트럭/부품 및 버스</t>
    </r>
    <phoneticPr fontId="1" type="noConversion"/>
  </si>
  <si>
    <r>
      <t xml:space="preserve">중∙대형 트럭/부품 25%
</t>
    </r>
    <r>
      <rPr>
        <sz val="8"/>
        <rFont val="맑은 고딕"/>
        <family val="3"/>
        <charset val="129"/>
        <scheme val="minor"/>
      </rPr>
      <t>(USMCA적용 차량, 非미국산 가치의 25%)</t>
    </r>
    <r>
      <rPr>
        <b/>
        <sz val="12"/>
        <rFont val="맑은 고딕"/>
        <family val="3"/>
        <charset val="129"/>
        <scheme val="minor"/>
      </rPr>
      <t xml:space="preserve">
버스 10%</t>
    </r>
    <phoneticPr fontId="1" type="noConversion"/>
  </si>
  <si>
    <t>2025.11.01</t>
    <phoneticPr fontId="1" type="noConversion"/>
  </si>
  <si>
    <t>https://www.whitehouse.gov/fact-sheets/2025/11/fact-sheet-president-donald-j-trump-strikes-deal-on-economic-and-trade-relations-with-china/</t>
    <phoneticPr fontId="1" type="noConversion"/>
  </si>
  <si>
    <t>미국, 미중정상회담 결과내용 팩트시트 발표
 - 펜타닐 관세 10%p 인하, 대중 상호관세 유예(상호관세 10%만 유지), 중국 조선/해운업에 대한 조치 중단
 - 11월 10일 발효 
    ※ 대중 관세율 30%(~11월 9일) → 20%(11월 10일~)</t>
    <phoneticPr fontId="1" type="noConversion"/>
  </si>
  <si>
    <t>2025.11.05</t>
    <phoneticPr fontId="1" type="noConversion"/>
  </si>
  <si>
    <t>https://www.yna.co.kr/view/AKR20251106001752071?section=international/correspondents/washington
https://www.cnbc.com/2025/11/05/supreme-court-trump-trade-tarrifs-vos.html</t>
    <phoneticPr fontId="1" type="noConversion"/>
  </si>
  <si>
    <t>미 대법원, 국제비상경제권한법(IEEPA) 근거 관세 부과에 대한 첫 심리 진행
 - 주요 쟁점은 트럼프 대통령이 IEEPA 근거로 관세를 부과한 것이 적법한지에 대한 여부
 - 앞서 1심 국제통상법원과 2심 항소법원에서는 비상 권한을 활용한 관세 부과 조치는 불법이라고 판단
 - 대법원도 관세 부과에 대한 행정부의 주장에 대해 다소 회의적인 반응
 - 통상 대법원의 판결 확정까지 6개월 이상 소요되나, 사안의 중대성을 고려해 이르면 수주 내에 결론이 날 수 있을것으로 예상</t>
    <phoneticPr fontId="1" type="noConversion"/>
  </si>
  <si>
    <t>멕시코, FTA 미체결 국가 대상 관세 부과안 승인 기한 연장(2027년 8월 31일까지)
 - 이번 연장은 관세 인상 자체를 연기했다기 보다는, 관련 입법 논의에 필요한 시간을 확보하기 위한 조치
 - 미국-멕시코-캐나다 협정(USMCA) 논의를 앞두고, 미국과의 협상 카드로 FTA 미체결국 관세 인상 가능성을 활용할 것으로 예상</t>
    <phoneticPr fontId="1" type="noConversion"/>
  </si>
  <si>
    <t>https://www.yna.co.kr/view/AKR20251106003800087?section=search
https://cm.asiae.co.kr/en/article/2025110609371629048</t>
    <phoneticPr fontId="1" type="noConversion"/>
  </si>
  <si>
    <t>* 대미투자특별법 발의(11/26)로 11/1일부터 관세 소급 적용</t>
    <phoneticPr fontId="1" type="noConversion"/>
  </si>
  <si>
    <t>2025.11.14</t>
    <phoneticPr fontId="1" type="noConversion"/>
  </si>
  <si>
    <t>https://www.whitehouse.gov/presidential-actions/2025/11/modifying-the-scope-of-the-reciprocal-tariff-with-respect-to-certain-agricultural-products/</t>
    <phoneticPr fontId="1" type="noConversion"/>
  </si>
  <si>
    <t>특정 농산물 대상 상호관세 부과 면제 발표
 - 면제 대상은 미국에서 부족하거나 재배하지 않는 소고기, 커피, 열대과일 등
 - 미국 소비자들의 고물가에 대한 불만이 정치적 부담으로 확대되며 정책 조정 진행
 - 11월 13일 발효</t>
    <phoneticPr fontId="1" type="noConversion"/>
  </si>
  <si>
    <t>2025.11.20</t>
    <phoneticPr fontId="1" type="noConversion"/>
  </si>
  <si>
    <t>브라질산 특정 농산물 대상 추가 관세(40%) 철회
 - 면제 대상은 미국에서 부족하거나 재배하지 않는 브라질산 소고기, 커피, 열대과일 등
 - 브라질산 특정 농산물 대상 관세율 0% 적용 
    (11월 14일 행정명령에서 전세계  농산물 대상 상호관세 10% 면제 
     → 11월 20일 행정명령에서 브라질 농산물 대상 추가 관세 40% 면제)
 - 11월 13일 발효</t>
    <phoneticPr fontId="1" type="noConversion"/>
  </si>
  <si>
    <t>2025.12.10</t>
    <phoneticPr fontId="1" type="noConversion"/>
  </si>
  <si>
    <t>https://www.yna.co.kr/view/AKR20251211093600087?section=international/all</t>
    <phoneticPr fontId="1" type="noConversion"/>
  </si>
  <si>
    <t>멕시코, FTA 미체결 국가 대상 전략품목에 대한 관세 인상 예정
 - 멕시코 의회는 일반수출입세법(LIGIE) 정부 개정안을 승인(12월 10일), 대통령 서명 후 2026년 1월부터 시행될 예정
 - 17개 전략 분야에서 자동차 부품, 철강 및 알루미늄, 플라스틱, 가전, 섬유 등 1,463개 품목 선정
 - 중국이 가장 큰 영향을 받을 것으로 예상되며, 한국/인도/베트남/태국/인도네시아/대만/아랍에미리트/남아프리카공화국 등도 관세 부과 대상에 오를 전망
 - 멕시코와 FTA 체결 국가는 미국, 캐나다, 유럽연합(EU), 일본, 칠레, 파나마, 우루과이 등</t>
    <phoneticPr fontId="1" type="noConversion"/>
  </si>
  <si>
    <t>2025.12.23</t>
    <phoneticPr fontId="1" type="noConversion"/>
  </si>
  <si>
    <t>https://www.chosun.com/economy/tech_it/2025/12/24/G2NFCNZ6AFDJFDJSWWHU4OWURY/
https://www.kita.net/board/totalTradeNews/totalTradeNewsDetail.do?no=93772&amp;siteId=2</t>
    <phoneticPr fontId="1" type="noConversion"/>
  </si>
  <si>
    <t>중국산 반도체 추가 관세 부과 18개월 유예
 - USTR(미국무역대표부)은 '무역법 301조' 조사 결과 중국산 반도체에 대한 추가 관세율을 2027년 6월 23일까지 0%로 유예
 - 미-중 정상회담 통한 무역 휴전 이후 갈등을 완화하려는 의도로 분석
 - 중국산 반도체는 관세율 50%(바이든 정부 부과) 유지되며, 추가 관세 부과는 최소 30일 전에 발표할 예정
 - 트럼프의 반도체 품목관세는 무역확장법 232조 근거해 조사 진행 중</t>
    <phoneticPr fontId="1" type="noConversion"/>
  </si>
  <si>
    <t>2024.12.23</t>
    <phoneticPr fontId="1" type="noConversion"/>
  </si>
  <si>
    <t>2024.05.14</t>
    <phoneticPr fontId="1" type="noConversion"/>
  </si>
  <si>
    <t>https://www.ebn.co.kr/news/articleView.html?idxno=1622888</t>
  </si>
  <si>
    <t>2018.06.20</t>
    <phoneticPr fontId="1" type="noConversion"/>
  </si>
  <si>
    <t>2018.07.06</t>
    <phoneticPr fontId="1" type="noConversion"/>
  </si>
  <si>
    <t>2018.08.23</t>
    <phoneticPr fontId="1" type="noConversion"/>
  </si>
  <si>
    <t>중국산 수입품(818개 품목, 340억 달러 규모)에 대한 25% 관세 발효</t>
    <phoneticPr fontId="1" type="noConversion"/>
  </si>
  <si>
    <t>https://www.yna.co.kr/view/GYH20180808000100044</t>
    <phoneticPr fontId="1" type="noConversion"/>
  </si>
  <si>
    <t>트럼프 1기 행정부가 무역법 301조에 따라 중국의 불공정 무역 관행에 대응 조치로 중국 수입품에 대한 관세 부과 발표</t>
    <phoneticPr fontId="1" type="noConversion"/>
  </si>
  <si>
    <t>https://ustr.gov/sites/default/files/2018-13248.pdf</t>
    <phoneticPr fontId="1" type="noConversion"/>
  </si>
  <si>
    <t>경과</t>
    <phoneticPr fontId="1" type="noConversion"/>
  </si>
  <si>
    <t>참고자료</t>
    <phoneticPr fontId="1" type="noConversion"/>
  </si>
  <si>
    <t>2024.09.18</t>
    <phoneticPr fontId="1" type="noConversion"/>
  </si>
  <si>
    <t>2025.01.01</t>
    <phoneticPr fontId="1" type="noConversion"/>
  </si>
  <si>
    <t>연방 관보에 관세가 인상되는 중국산 반도체 세부 HS Code, 관세율, 발효 시기 게재</t>
    <phoneticPr fontId="1" type="noConversion"/>
  </si>
  <si>
    <t>바이든 정부 말기, USTR(미국 무역대표부)는 무역법 301조에 따라 중국의 반도체 산업에 대한 불공정 관행에 대해 조사 개시</t>
    <phoneticPr fontId="1" type="noConversion"/>
  </si>
  <si>
    <t>중국산 수입품(279개 품목, 160억 달러 규모)에 대한 25% 관세 발효
 * 관세 적용되는 품목 확대</t>
    <phoneticPr fontId="1" type="noConversion"/>
  </si>
  <si>
    <t>중국산 반도체 관세율 50%로 발효
 * 트럼프 1기때 부과된 25%→50%로 수정</t>
    <phoneticPr fontId="1" type="noConversion"/>
  </si>
  <si>
    <t>USTR은 2024년 12월 개시한 무역법 301조 조사 결과 중국산 반도체의 추가 관세율은 0%로 발표
추가 관세는 2027년 6월 23일(18개월 뒤) 부과할 예정이며, 관세 부과 최소 30일 전에 발표할 예정</t>
    <phoneticPr fontId="1" type="noConversion"/>
  </si>
  <si>
    <t>https://www.chosun.com/economy/tech_it/2025/12/24/G2NFCNZ6AFDJFDJSWWHU4OWURY/</t>
    <phoneticPr fontId="1" type="noConversion"/>
  </si>
  <si>
    <t>바이든 대통령은 무역법 301조를 근거로 중국산 전기차, 배터리, 태양광, 반도체에 대한 관세 인상 계획 발표</t>
    <phoneticPr fontId="1" type="noConversion"/>
  </si>
  <si>
    <t>2025.04.01</t>
    <phoneticPr fontId="1" type="noConversion"/>
  </si>
  <si>
    <t>트럼프 정부 2기, 미 상무부는 무역확장법 232조에 따라 반도체 수입이 국가 안보이 미치는 영향을 파악하기 위한 조사 개시</t>
    <phoneticPr fontId="1" type="noConversion"/>
  </si>
  <si>
    <t>https://www.federalregister.gov/documents/2024/09/18/2024-21217/notice-of-modification-chinas-acts-policies-and-practices-related-to-technology-transfer</t>
    <phoneticPr fontId="1" type="noConversion"/>
  </si>
  <si>
    <t>https://ustr.gov/about-us/policy-offices/press-office/press-releases/2024/december/ustr-initiates-section-301-investigation-chinas-acts-policies-and-practices-related-targeting</t>
  </si>
  <si>
    <t>https://www.federalregister.gov/documents/2025/04/16/2025-06591/notice-of-request-for-public-comments-on-section-232-national-security-investigation-of-imports-of</t>
  </si>
  <si>
    <t>2026.01.01</t>
    <phoneticPr fontId="1" type="noConversion"/>
  </si>
  <si>
    <t>https://www.kita.net/board/totalTradeNews/totalTradeNewsDetail.do?no=97440&amp;siteId=1
https://www.yna.co.kr/view/AKR20251231014200087</t>
    <phoneticPr fontId="1" type="noConversion"/>
  </si>
  <si>
    <t>2025.12.31</t>
    <phoneticPr fontId="1" type="noConversion"/>
  </si>
  <si>
    <t>https://www.whitehouse.gov/presidential-actions/2025/12/amendments-to-adjusting-imports-of-timber-lumber-and-their-derivative-products-into-the-united-states/
https://www.kita.net/board/tradeNews/tradeNewsDetail.do?no=1865413</t>
    <phoneticPr fontId="1" type="noConversion"/>
  </si>
  <si>
    <t>패브릭 가구, 수납장, 세면대 등 관세 인상 연기
 - 지난 9월 29일, 실내 가구(소파 등 천을 씌운 목재 제품)와 주방 가구(주방 찬장, 세면대 등)에 25% 관세 부과하고, 2026년 1월 1일부터 실내가구 30%, 주방 가구 50%로 관세를 인상할 계획을 발표함
 - 하지만 이번 발표를 통해 관세 인상 조치를 2027년 1월 1일로 연기하고 기존 25% 관세율을 유지하기로 함</t>
    <phoneticPr fontId="1" type="noConversion"/>
  </si>
  <si>
    <r>
      <t xml:space="preserve">멕시코, FTA 미체결 국가 대상 고율 관세 시행
 - 지난 9월 발표된 초안 대비 관세가 완화된 수준
   </t>
    </r>
    <r>
      <rPr>
        <sz val="10"/>
        <color theme="1"/>
        <rFont val="바탕체"/>
        <family val="1"/>
        <charset val="129"/>
      </rPr>
      <t>∙</t>
    </r>
    <r>
      <rPr>
        <sz val="10"/>
        <color theme="1"/>
        <rFont val="나눔스퀘어"/>
        <family val="3"/>
        <charset val="129"/>
      </rPr>
      <t xml:space="preserve"> 자동차 부품 35%→25%, 세탁기 35%→25~30%, 냉장고 35→25%, 전자레인지 35%→30% 등
 - 중간 수입재에 대해서는 관세 감면 제도(PROSEC, IMMEX 등) 유지할 예정
 - 1월 1일 발효</t>
    </r>
    <phoneticPr fontId="1" type="noConversion"/>
  </si>
  <si>
    <t>2026.01.12</t>
    <phoneticPr fontId="1" type="noConversion"/>
  </si>
  <si>
    <t>https://www.donga.com/news/Inter/article/all/20260113/133143539/2</t>
    <phoneticPr fontId="1" type="noConversion"/>
  </si>
  <si>
    <t>이란과 거래하는 국가는 미국과의 거래 시 25% 관세 부과 발표
 - 대규모 반정부 시위가 이어지고 있는 이란 정권에 대한 압박을 강화하려는 취지
 - 이란산 석유 최대 수입국인 중국을 압박하기 위한 조치라는 의견도 존재</t>
    <phoneticPr fontId="1" type="noConversion"/>
  </si>
  <si>
    <t>2026.01.15</t>
    <phoneticPr fontId="1" type="noConversion"/>
  </si>
  <si>
    <t>https://www.whitehouse.gov/presidential-actions/2026/01/adjusting-imports-of-semiconductors-semiconductor-manufacturing-equipment-and-their-derivative-products-into-the-united-states/
https://www.kita.net/board/totalTradeNews/totalTradeNewsDetail.do;JSESSIONID_KITA=1774BBBBF655CDE8A2015254428CD441.Hyper?no=98303&amp;siteId=2</t>
    <phoneticPr fontId="1" type="noConversion"/>
  </si>
  <si>
    <t xml:space="preserve">무역확장법 232조에 따라 반도체, 반도체 제조설비 및 파생상품에 관세 25% 부과하는 행정명령 서명
 - 미국의 기술 공급망 강화 및 국내 제조 역량 강화에 기여한다고 판단되는 경우 면제
    (미국 내 데이터 센터에서 사용, 수리 또는 교체, 연구개발, 소비자용 및 민간산업용 등 애플리케이션 등)
 - 이번 조치와 함께 해외 국가와 반도체 관련한 무역협정 체결하고 90일내 협상 결과를 보고할 예정이며, 
    무역협상 종료 후 세율을 높이고, 적용 품목도 확대할 예정
 - 1월 15일 발효  </t>
    <phoneticPr fontId="1" type="noConversion"/>
  </si>
  <si>
    <t>https://www.yna.co.kr/view/AKR20260116005951071?section=international/all&amp;site=topnews02</t>
    <phoneticPr fontId="1" type="noConversion"/>
  </si>
  <si>
    <t>미국-대만 무역협정 체결
 - 대만 상호관세 20%→15%로 인하
 - 대만산 자동차 부품, 목재/원목/목재파생제품 대상 관세 15% 적용
 - 미국에 반도체 생산 시설 구축하는 대만 기업은 품목별 관세 면제
    (건설이 진행되는 동안에는 생산 능력의 2.5배까지 관세 면제, 완공 후에는 신규 생산 능력의 1.5배까지 관세 면제)
 - 제너릭 의약품과 원료 성분, 항공기 부품, 미국내 조달 불가능한 천연자원은 관세 면제</t>
    <phoneticPr fontId="1" type="noConversion"/>
  </si>
  <si>
    <t>2026.01.17</t>
    <phoneticPr fontId="1" type="noConversion"/>
  </si>
  <si>
    <t>https://www.cnbc.com/2026/01/17/trump-greenland-tariffs-nato.html
https://www.yna.co.kr/view/AKR20260118012951071?section=international/all</t>
    <phoneticPr fontId="1" type="noConversion"/>
  </si>
  <si>
    <t>나토 회원국 8개국 대상 관세 단계적 인상 발표
 - 그린란드에 소규모 병력을 파견한 덴마크, 노르웨이, 스웨덴, 프랑스, 영국, 네덜란드, 핀란드 대상 
 - 2월 1일부터 10%, 6월 1일부터 25%로 인상 (그린란드 매입이 완료될 때까지 유효)</t>
    <phoneticPr fontId="1" type="noConversion"/>
  </si>
  <si>
    <t>나토 회원국 8개국 대상 관세 부과 철회
 - 미국의 그린란드 확보에 반대해온 유럽 국가들과 협상 돌입
 - 트럼프 대통령의 무력 사용 배제 및 관세 부과 철회 발표로 미국과 유럽 간 긴장 완화</t>
    <phoneticPr fontId="1" type="noConversion"/>
  </si>
  <si>
    <t>2026.01.21</t>
    <phoneticPr fontId="1" type="noConversion"/>
  </si>
  <si>
    <t>https://www.yna.co.kr/view/AKR20260122006251071?section=international/all</t>
    <phoneticPr fontId="1" type="noConversion"/>
  </si>
  <si>
    <t>2026.01.24</t>
    <phoneticPr fontId="1" type="noConversion"/>
  </si>
  <si>
    <t>https://www.mk.co.kr/news/world/11943086</t>
  </si>
  <si>
    <t>캐나다, 중국과 협정 체결시 100% 관세 부과 발표
 - 캐나다-중국간 정상회담 통해 중국의 전기차, 캐나다의 유채씨 등 양국 주요 수출품에 대한 관세 인하 등 합의
 - 캐나다는 중국과의 자유무역협정(FTA)을 체결할 의사가 없으며, 양국 간의 보복관세를 인하하는 제한적 조치라고 밝힘</t>
    <phoneticPr fontId="1" type="noConversion"/>
  </si>
  <si>
    <t>2026.01.26</t>
    <phoneticPr fontId="1" type="noConversion"/>
  </si>
  <si>
    <t>한국의 품목관세 및 상호관세 15%→25% 인상 발표
 - 한국의 대미 투자(한미 전략적 투자 관리를 위한 특별법안)에 대한 국회 승인이 지연되는 것에 대한 압박 카드로 관세 복원 활용
 - 한국 산업통상자원부 장관의 방미 협의 통해 대응책 마련 예정</t>
    <phoneticPr fontId="1" type="noConversion"/>
  </si>
  <si>
    <t>https://www.yna.co.kr/view/AKR20260127012753071?section=international/all&amp;site=topnews01</t>
  </si>
  <si>
    <t>2026.02.03</t>
    <phoneticPr fontId="1" type="noConversion"/>
  </si>
  <si>
    <t>https://www.yna.co.kr/view/AKR20260203156500104</t>
    <phoneticPr fontId="1" type="noConversion"/>
  </si>
  <si>
    <t>인도, 무역 협정 합의
 - 인도 상호관세율 50%→18%로 인하
   (상호관세 25% + 러시아산 원유 수입에 따른 제재성 관세 25% → 상호관세 18% + 제재성 관세 철회)
- 인도는 러시아산 원유 수입 중단하고, 에너지/농산물/석탄 등 미국산 제품 구매 확대를 약속
- 베트남(20%), 방글라데시(20%), 인도네시아(19%) 등 인근 국가보다 낮은 상호관세율로 중국을 대체할 생산 거점으로 부상할 것으로 예상</t>
    <phoneticPr fontId="1" type="noConversion"/>
  </si>
  <si>
    <t>2026.02.06</t>
    <phoneticPr fontId="1" type="noConversion"/>
  </si>
  <si>
    <t>https://www.whitehouse.gov/presidential-actions/2026/02/modifying-duties-to-address-threats-to-the-united-states-by-the-government-of-the-russian-federation/
https://www.khan.co.kr/article/202602071016001</t>
    <phoneticPr fontId="1" type="noConversion"/>
  </si>
  <si>
    <t>이란과 거래하는 국가에 추가관세 부과 행정명령 발표
 - 이란과 거래하는 국가 대상 '2차 제재'를 부과
 - 상무부 장관은 특정 국가가 이란과 교역하는지 판단하여 국무부 장관에게 통보하면, 국무부 장관은 관계 부처와 협의하여 추가관세 부과 여부를 결정할 예정
 - 2월 7일 발효</t>
    <phoneticPr fontId="1" type="noConversion"/>
  </si>
  <si>
    <t>https://www.whitehouse.gov/presidential-actions/2026/02/modifying-duties-to-address-threats-to-the-united-states-by-the-government-of-the-russian-federation-04b2/</t>
  </si>
  <si>
    <t>인도 대상 제재성 관세 철회 행정명령 발표
 - 인도의 러시아산 원유 수입 중단을 근거로 제재성 관세 25% 철회
 - 모니터링 통해 향후 러시아산 원유 수입이 재개시 관세 재부과 가능
 - 이번 행정명령에는 상호관세를 18% 조정하는 내용은 미포함
 - 2월 7일 발효</t>
    <phoneticPr fontId="1" type="noConversion"/>
  </si>
  <si>
    <t>2026.02.20</t>
    <phoneticPr fontId="1" type="noConversion"/>
  </si>
  <si>
    <t>미 연방대법원, IEEPA 관세 위법∙무효 판결
 - 관세는 의회의 고유 권한으로 IEEPA에 따른 관세 부과는 위법 판결 (위법 6 대 합헌 3)
 - 이에 따라 각 국가별 부과된 상호관세 및 중국/멕시코/캐나다에 부과한 펜타닐 관세 무효
 - 무역확장법 232조에 따른 품목관세는 판결과 무관하게 유지</t>
    <phoneticPr fontId="1" type="noConversion"/>
  </si>
  <si>
    <t>https://www.whitehouse.gov/presidential-actions/2026/02/imposing-a-temporary-import-surcharge-to-address-fundamental-international-payments-problems/</t>
    <phoneticPr fontId="1" type="noConversion"/>
  </si>
  <si>
    <t>트럼프 행정부, IEEPA 대체하기 위해 무역법 122조 근거 전세계에 10% 추가 관세 부과
 - 20일 무역법 122조 근거 10% 추가관세 행정명령에 서명 후, 다음날 21일 15%로 인상할 것을 발표
 - 무역법 122조는 대통령이 국제수지 문제에 대응하기 위해 의회 승인없이 단기적으로 수입을 제한할 수 있는 긴급 권한 조항으로
    최대 15%까지 부과 가능하며, 최대 150일까지 유효 (효력 연장시 의회 승인 필요)
 - 무역확장법 232조 근거 부과한 품목 관세와 중복 적용되지 않음
 - 2월 24일 발효 (7월 24일 종료)</t>
    <phoneticPr fontId="1" type="noConversion"/>
  </si>
  <si>
    <t>https://www.whitehouse.gov/presidential-actions/2026/02/ending-certain-tariff-actions/
https://www.korea.kr/briefing/pressReleaseView.do?newsId=156745353
https://n.news.naver.com/article/374/0000493455</t>
    <phoneticPr fontId="1" type="noConversion"/>
  </si>
  <si>
    <t>2026.03.11</t>
    <phoneticPr fontId="1" type="noConversion"/>
  </si>
  <si>
    <t>USTR(미 무역대표부), 16개국 대상 무역법 301조 조사 개시 발표
 - 무역법 301조는 미 기업에 대한 외국 정부의 불공정 행위가 있을 경우 관세 부과 등 보복 권한을 행사할 수 있는 조항
 - 지속적인 대규모 무역 흑자를 내는 나라들에 초점을 맞추고 있으며, 중국, 유럽연합(EU), 스위스, 노르웨이, 인도네시아, 
    말레이시아, 캄보디아, 태국, 한국, 베트남, 대만, 방글라데시, 멕시코, 일본, 인도가 대상
 - 3월 17일부터 4월 15일까지 의견 접수 후, 5월 5일 공개 청문회 개최 예정
 - 122조 관세의 150일 시한(7월 24일)이 만료되기 전 조사를 마무리하는 것이 목표</t>
    <phoneticPr fontId="1" type="noConversion"/>
  </si>
  <si>
    <t>https://www.hankyung.com/article/202603125133i
https://www.chosun.com/international/us/2026/03/12/GMZ5IAJJIBANLEMBIWYKZ6RAQI/
https://www.hani.co.kr/arti/international/america/1248916.html</t>
    <phoneticPr fontId="1" type="noConversion"/>
  </si>
  <si>
    <t>무역제재 관세</t>
    <phoneticPr fontId="1" type="noConversion"/>
  </si>
  <si>
    <t>2026.03.12</t>
    <phoneticPr fontId="1" type="noConversion"/>
  </si>
  <si>
    <t>https://ustr.gov/about/policy-offices/press-office/press-releases/2026/march/ustr-initiates-60-section-301-investigations-relating-failures-take-action-forced-labor</t>
    <phoneticPr fontId="1" type="noConversion"/>
  </si>
  <si>
    <t>2026.04.02</t>
    <phoneticPr fontId="1" type="noConversion"/>
  </si>
  <si>
    <t xml:space="preserve">https://www.whitehouse.gov/presidential-actions/2026/04/strengthening-actions-taken-to-adjust-imports-of-aluminum-steel-and-copper-into-the-united-states/
</t>
    <phoneticPr fontId="1" type="noConversion"/>
  </si>
  <si>
    <t>미국에서 생산하지 않는 의약품에 대한 관세 부과 발표
  - 특허 의약품 및 관련 원료의약품 대상 100% 관세 부과
    ∙ 상무부로부터 미국내 생산 계획을 승인받은 기업은 20% 적용 (2030년 4월 2일에 100%로 인상)
    ∙ 상무부/보건복지부와 최혜국 대우 가격 협정 체결한 기업은 0% 적용 (2029년 1월 20일까지)
    ∙ 제네릭 의약품, 바이오시밀러는 관세 부과 대상에서 제외
  - 미국과 별도 무역합의한 한국/일본/유럽/스위스 및 리히텐슈타인 15%, 영국 10% 적용 
  - 대형 제약사는 7월 31일(120일 후), 중소 제약사는 9월 29일(180일 후) 발효</t>
    <phoneticPr fontId="1" type="noConversion"/>
  </si>
  <si>
    <t>https://www.whitehouse.gov/presidential-actions/2026/04/adjusting-imports-of-pharmaceuticals-and-pharmaceutical-ingredients-into-the-united-states/</t>
  </si>
  <si>
    <t>의약품</t>
    <phoneticPr fontId="1" type="noConversion"/>
  </si>
  <si>
    <t>* 관세 발효 9/24 (17개사만 7/31)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</si>
  <si>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우편물 총 가치의 10%</t>
    </r>
    <r>
      <rPr>
        <sz val="11"/>
        <color theme="1"/>
        <rFont val="맑은 고딕"/>
        <family val="3"/>
        <charset val="129"/>
        <scheme val="minor"/>
      </rPr>
      <t xml:space="preserve">
* 관세발효 2/24
* 무역법 122조 적용 만료일 또는 CBP가 발표하는 신규 우편물 통관 절차 시행일 중 더 빠른 시점까지 적용</t>
    </r>
    <phoneticPr fontId="1" type="noConversion"/>
  </si>
  <si>
    <r>
      <t xml:space="preserve">알루미늄, 철강, 구리에 대한 관세율 변경 발표
 - 알루미늄/철강/구리 제품 및 파생상품(Appendix IA 기준)
   </t>
    </r>
    <r>
      <rPr>
        <sz val="10"/>
        <rFont val="맑은 고딕"/>
        <family val="3"/>
        <charset val="129"/>
      </rPr>
      <t>∙</t>
    </r>
    <r>
      <rPr>
        <sz val="10"/>
        <rFont val="나눔스퀘어"/>
        <family val="3"/>
        <charset val="129"/>
      </rPr>
      <t xml:space="preserve"> 금속 함량과 무관하게 완제품 가격 기준으로 과세 방식 변경되며 관세 50% 부과
   ∙ 알루미늄/철강 전량이 영국산 제품 및 파생제품은 관세 25%
   ∙ 알루미늄/철강/구리 전량이 미국산 파생제품에 한해 관세 10%
 - 알루미늄/철강/구리 제품 및 파생상품(Appendix IB 기준)
   ∙ 완제품 가격 기준으로 과세 방식 변경되며 관세 25% 부과
   ∙ 단, HTS 72/73/74/76에 해당하지 않은 제품에 대해 금속 중량 기준이 15% 이상인 경우에만 적용
   ∙ 알루미늄/철강 전량이 영국산 제품 및 파생제품은 관세 15% 
   ∙ 알루미늄/철강/구리 전량이 미국산 제품 및 파생제품 모두 관세 10% 
 - 철강/알루미늄 중심 제품(Appendix Ⅲ)
   ∙ HTSUS(미국 품목 분류체계)기반 관세율 + 무역법 232조 적용
   ∙ 단, HTS 72/73/74/76에 해당하지 않은 제품에 대해 금속 중량 기준이 15% 이상인 경우에만 적용
   ∙ HTSUS 관세율 &lt; 15% 경우, 추가 232조 관세 부과로 최종 관세 15% 수준으로 제한
   ∙ HTSUS 관세율 ≥ 15% 경우, 추가 232조 관세 0% 적용
   ∙ 알루미늄/철강 전량이 미국산 파생제품은 HTSUS 기반 최종 관세 10% 수준으로 제한
   ∙ 적용 기간: ~2027년 12월 31일까지
  - 미국과 정상무역관계(NTR)가 없는 국가는 관세 25% 부과
  - 4월 6일 발효</t>
    </r>
    <phoneticPr fontId="1" type="noConversion"/>
  </si>
  <si>
    <t>2026.05.07</t>
    <phoneticPr fontId="1" type="noConversion"/>
  </si>
  <si>
    <t>https://www.yna.co.kr/view/AKR20260508012552071?section=international/all&amp;site=topnews02</t>
    <phoneticPr fontId="1" type="noConversion"/>
  </si>
  <si>
    <t xml:space="preserve">무역법 122조에 따른 글로벌 10% 관세 위법 판결
  - 지난 3월 미 중소수입업체들은 무역법 122조에 기반한 관세가 위법하다며 연방국제통상법원에 소송 제기
  - 재판부는 트럼프 행정부가 '국제수지'와 '무역적자'를 혼동해 법 적용 요건을 충족하지 못했다고 판단해 위법 판결
  - 트럼프 행정부는 항소할 가능성이 높으며, 패소할 경우 이번 글로벌 관세로 징수한 금액도 환급 대상이 될 수 있음  </t>
    <phoneticPr fontId="1" type="noConversion"/>
  </si>
  <si>
    <t>2026.05.12</t>
    <phoneticPr fontId="1" type="noConversion"/>
  </si>
  <si>
    <t>https://www.yna.co.kr/view/AKR20260513001652071?section=international/all</t>
    <phoneticPr fontId="1" type="noConversion"/>
  </si>
  <si>
    <t>미 항소법원, '글로벌 10% 관세 무효' 효력 일시정지
  - 미 연방국제통상법원은 지난 5월 7일 무역법 122조 근거한 글로벌 10% 관세 부과는 위법이라고 판결
  - 트럼프 행정부는 1심 판결이 즉시 효력을 가질 경우 다른 수입업자들의 연쇄 소송이 진행될 것이라고 주장하며 항소
  - 1심 판결의 효력 정지로 트럼프 행정부는 항소법원 판결이 나올때까지 글로벌 관세를 계속 부과할 수 있게됨</t>
    <phoneticPr fontId="1" type="noConversion"/>
  </si>
  <si>
    <t>2026.06.01</t>
    <phoneticPr fontId="1" type="noConversion"/>
  </si>
  <si>
    <t>https://www.whitehouse.gov/presidential-actions/2026/06/further-adjusting-the-tariff-regimes-for-imports-of-aluminum-steel-and-copper-into-the-united-states/
https://www.yna.co.kr/view/AKR20260602083400009?section=international/all</t>
    <phoneticPr fontId="1" type="noConversion"/>
  </si>
  <si>
    <t>철강, 알루미늄,구리에 대한 관세 추가 조정 발표
  - 4월 2일 발표한 철강/알루미늄/구리 대상 기본 관세 체계는 유지하되, 일부 파생제품 및 장비류에 대한 한시적 감면·조정 확대
   ① 미국산 철강/알루미늄/구리 인정 기준은 해당 금속 함량 중량 기준 95%에서 85%로 완화해 미국산 금속 사용 파생제품의 
        10% 관세 트랙 적용 요건 충족 가능성 확대
   ② 농기계 및 주거용 냉난방 공조(HVAC) 시스템/부품 등은 기존 15% 한시 감면 대상 품목군에 추가
   ③ Annex Ⅰ-C 신설해 이동식 산업장비·기계류(지게차, 이동식 크레인 등)에 별도 한시 관세 트랙 적용
      - 기본 세율은 25%이나, 한국/일본/EU/영국/대만 등 지정국가산 Annex Ⅰ-C 품목은 일반세율과 232조 추가관세 합계가
        15%가 되도록 조정 
        (단, 일반세율이 이미 15% 이상인 경우 232조 추가관세는 0%)
     - USMCA 조건 충족하는 캐나다/멕시코산  Annex Ⅰ-C 품목은 제품 전체가치가 아닌 비미국산 가치 대상 25% 관세 적용
       (단, 총 실효관세율은 최소 15% 미만으로 낮아질 수는 없음)
  - 적용 시점은 2026년 6월 8일 이후 수입분부터 적용
     단, ②, ③은 2026년 6월 8일부터 2027년 12월 31일까지 적용 (①은 별도 종료일 미명시)</t>
    <phoneticPr fontId="1" type="noConversion"/>
  </si>
  <si>
    <t>2026.06.02</t>
    <phoneticPr fontId="1" type="noConversion"/>
  </si>
  <si>
    <t>USTR(미 무역대표부), 약 60개국 대상 2번째 무역법 301조 조사 개시 발표
 - 강제 노동으로 생산된 제품의 수입 금지 조치 이행 여부에 초점
 - 첫번째 조사 대상인 16개국 포함 브라질, 캐나다, 영국, 러시아, 싱가포르 등 60개국 대상
 - 4월 15일까지 의견 접수 후, 4월 28일 청문회 개최 예정</t>
    <phoneticPr fontId="1" type="noConversion"/>
  </si>
  <si>
    <t>chrome-extension://efaidnbmnnnibpcajpcglclefindmkaj/https://ustr.gov/sites/default/files/files/Press/Releases/2026/USTR%20Report%20Sec%20301%20FL%20301%206-2-26%20FINAL%20for%20upload.pdf
https://www.yna.co.kr/view/AKR20260603044451009</t>
    <phoneticPr fontId="1" type="noConversion"/>
  </si>
  <si>
    <t>USTR(미 무역대표부),  '강제노동' 60개국 대상 무역법 301조 기반 추가관세 부과계획 발표
 - 일부 국가의 강제노동 생산품 수입 규제·단속 미흡으로 우회 유통 및 미국 기업의 불공정 경쟁이 초래되었다고 보고, 무역법 301조 기반 관세 부과 추진
 - 2개 그룹으로 나누어, 추가관세 차등 부과
   ① 10% 부과 대상
     - 강제노동 수입금지 제도가 있거나, 미국과 관련 약속을 했거나, 일부 품목에 대해 부분적 금지 체계를 둔 국가
     - 캐나다, EU, 에콰도르, 인도네시아, 멕시코, 파키스탄 6개국
   ② 12.5% 부과 대상
     - 강제 노동 생산품의 교역 관련 조치를 제대로 하지 않은 국가
     - 한국, 일본, 중국, 베트남, 인도, 영국, 대만 등 54개국
 - 7월 7일 공청회 개최 통해 의견 수렴 후 최종 관세 조치 확정 예정</t>
    <phoneticPr fontId="1" type="noConversion"/>
  </si>
  <si>
    <t>2026.07.09</t>
    <phoneticPr fontId="1" type="noConversion"/>
  </si>
  <si>
    <t>https://www.whitehouse.gov/presidential-actions/2026/07/adjusting-imports-of-commercial-aircraft-jet-engines-and-aircraft-and-engine-parts-into-the-united-states/
https://www.yna.co.kr/view/AKR20260710014400071</t>
    <phoneticPr fontId="1" type="noConversion"/>
  </si>
  <si>
    <t>항공기/제트엔진/관련 부품 대상 관세 부과 대신 협상 지시 발표 
 - USTR(미 무역대표부)의 항공기/제트엔진/관련 부품에 대한 무역확장법 232조 조사 완료
 - 해당 품목의 수입으로 미국 국가 안보를 훼손할 우려에 대응하기 위해 즉각적인 관세 부과 대신 
   무역 상대국들과 관련 협정을 협상하도록 지시
 - 포고령 발효 후 180일 이내에 관련 협정이 체결되지 않거나, 체결된 협정이 이행되지 않거나, 실효성이 없다고 판단될 경우
   추가 조치(관세 포함)를 취할 수 있음</t>
    <phoneticPr fontId="1" type="noConversion"/>
  </si>
  <si>
    <t>2026.07.15</t>
    <phoneticPr fontId="1" type="noConversion"/>
  </si>
  <si>
    <t>https://www.kita.net/board/tradeNews/tradeNewsDetail.do?no=1871429
https://ustr.gov/about/policy-offices/press-office/press-releases/2026/july/ustr-section-301-action-brazils-unreasonable-acts-policies-and-practices</t>
    <phoneticPr fontId="1" type="noConversion"/>
  </si>
  <si>
    <t>USTR(미 무역대표부), 무역법 301조에 따라 브라질산 수입품에 25% 추가관세 부과
 - 디지털 상거래, 지식재산권, 에탄올 시장 접근권 등 브라질의 불공정한 무역관행을 문제 삼아 조치
 - 원유/광물/비료/소고기/커피/오렌지 등 일부 품목과 무역확장법 232조 적용 품목은 적용 제외
 - 7월 22일 발효</t>
    <phoneticPr fontId="1" type="noConversion"/>
  </si>
  <si>
    <t>2026.07.20</t>
    <phoneticPr fontId="1" type="noConversion"/>
  </si>
  <si>
    <t>https://www.whitehouse.gov/presidential-actions/2026/07/imposing-additional-duties-to-offset-canadian-discrimination-against-the-commerce-of-the-united-states-with-respect-to-motor-vehicles/
https://www.whitehouse.gov/presidential-actions/2026/07/imposing-additional-duties-to-offset-canadian-discrimination-against-the-commerce-of-the-united-states-with-respect-to-alcoholic-beverages/
https://www.whitehouse.gov/presidential-actions/2026/07/imposing-additional-duties-to-offset-canadian-discrimination-against-the-commerce-of-the-united-states-with-respect-to-dairy/
https://biz.chosun.com/international/international_general/2026/07/21/S6QDRVDLN5DDVHZ7OBYBYZXQTM/</t>
    <phoneticPr fontId="1" type="noConversion"/>
  </si>
  <si>
    <t>https://www.whitehouse.gov/presidential-actions/2026/07/adjusting-imports-of-commercial-aircraft-jet-engines-and-aircraft-and-engine-parts-into-the-united-states/
https://www.yna.co.kr/view/AKR20260710014400071
https://biz.chosun.com/international/international_economy/2026/07/21/57J33CNWHRCBNC6AG7GD6LDZK4/</t>
    <phoneticPr fontId="1" type="noConversion"/>
  </si>
  <si>
    <t>캐나다의 차별적 무역조치에 대응한 50% 추가관세 부과 발표(관세법 제338조 근거)
 - 캐나다의 유제품·주류·자동차 분야 차별적 무역조치에 대응하여, 3건의 포고령을 통해 특정 캐나다산 수입품에 50% 추가관세 부과
 - 추가관세 적용 방식
  ·Annex II에 지정된 캐나다산 제품(와인, 하키스틱, 시멘트 등)에 기존 관세와 별도로 50% 종가관세 추가 부과
  ·USMCA 원산지 요건 충족 여부와 관계없이 Annex II 대상 품목에는 추가관세 적용
  ·무역확장법 제232조 관세 적용 품목, 에너지·포타시·일부 수산물·핵심광물 등은 적용 제외
 - 8월 19일 발효</t>
    <phoneticPr fontId="1" type="noConversion"/>
  </si>
  <si>
    <r>
      <t xml:space="preserve">미국 내 알루미늄 생산시설 투자 인센티브 신설 발표(무역확장법 232조 근거)
 - 상무부에 미국내 1차 알루미늄 제련소 신설·증설·개보수 투자계획을 심사·승인하는 프로그램 마련을 지시
 - 승인 기업은 투자 규모에 상응하는 물량의 1차 알루미늄에 대해 무역확장법 232조 관세의 50%만 적용
 - 승인 대상 조건
   </t>
    </r>
    <r>
      <rPr>
        <sz val="10"/>
        <rFont val="맑은 고딕"/>
        <family val="3"/>
        <charset val="129"/>
      </rPr>
      <t>∙미국내</t>
    </r>
    <r>
      <rPr>
        <sz val="10"/>
        <rFont val="나눔스퀘어"/>
        <family val="3"/>
        <charset val="129"/>
      </rPr>
      <t xml:space="preserve"> 1차 알루미늄 생산시설 신설/증설 또는 노후시설 개보수
   ∙2029년 1월 20일까지 착공
   ∙생산능력, 투자 계획, 사업성 등을 상무부가 심사 후 승인</t>
    </r>
    <phoneticPr fontId="1" type="noConversion"/>
  </si>
  <si>
    <t>2026.07.21</t>
    <phoneticPr fontId="1" type="noConversion"/>
  </si>
  <si>
    <t>제네릭 의약품에 단계별 고율관세 부과 발표
 - 미국으로 수입되는 제네릭(복제약)에 대해 2년간 무관세 유지한 뒤, 1년간 100%, 이후에는 200%의 관세를 단계적으로 부과
 - 미국 내 판매 의약품의 90% 이상을 차지하는 제네릭 의약품의 미국 내 생산(리쇼어링)을 유도하기 위한 조치
 - 특허 의약품, 브랜드 의약품, 혁신 신약은 기존 정책 유지
 - 8월 1일 시행(2년간 무관세 적용 후 2028년 100%, 2029년 이후 200% 관세 부과)</t>
    <phoneticPr fontId="1" type="noConversion"/>
  </si>
  <si>
    <t>https://www.donga.com/news/Inter/article/all/20260722/134347656/2
https://www.yna.co.kr/view/AKR20260722076100009</t>
    <phoneticPr fontId="1" type="noConversion"/>
  </si>
  <si>
    <t>2026.07.23</t>
    <phoneticPr fontId="1" type="noConversion"/>
  </si>
  <si>
    <t>강제노동 관련 301조</t>
    <phoneticPr fontId="1" type="noConversion"/>
  </si>
  <si>
    <t>* 강제노동 관련 301조 관세 발효 7/24</t>
    <phoneticPr fontId="1" type="noConversion"/>
  </si>
  <si>
    <r>
      <t xml:space="preserve">원재료 및 핵심 금속 50%
(Appendix IA 품목 대상)
</t>
    </r>
    <r>
      <rPr>
        <sz val="10"/>
        <rFont val="맑은 고딕"/>
        <family val="3"/>
        <charset val="129"/>
        <scheme val="minor"/>
      </rPr>
      <t xml:space="preserve"> - 영국산 요건 충족시 25%
 - 미국산 요건 충족시 10%</t>
    </r>
    <r>
      <rPr>
        <b/>
        <sz val="12"/>
        <rFont val="맑은 고딕"/>
        <family val="3"/>
        <charset val="129"/>
        <scheme val="minor"/>
      </rPr>
      <t xml:space="preserve">
완제품/산업용 파생제품 25%
(Appendix IB 품목 대상)
</t>
    </r>
    <r>
      <rPr>
        <sz val="10"/>
        <rFont val="맑은 고딕"/>
        <family val="3"/>
        <charset val="129"/>
        <scheme val="minor"/>
      </rPr>
      <t xml:space="preserve"> - 영국산 요건 충족시 15%
 - 미국산 요건 충족시 10%
* 관세 발효 4/6</t>
    </r>
    <phoneticPr fontId="1" type="noConversion"/>
  </si>
  <si>
    <r>
      <t xml:space="preserve">원재료 및 핵심 금속 50%
(Appendix IA 품목 대상)
</t>
    </r>
    <r>
      <rPr>
        <sz val="10"/>
        <rFont val="맑은 고딕"/>
        <family val="3"/>
        <charset val="129"/>
        <scheme val="minor"/>
      </rPr>
      <t xml:space="preserve"> - 미국산 요건 충족시 10%
</t>
    </r>
    <r>
      <rPr>
        <b/>
        <sz val="12"/>
        <rFont val="맑은 고딕"/>
        <family val="3"/>
        <charset val="129"/>
        <scheme val="minor"/>
      </rPr>
      <t xml:space="preserve">
완제품/산업용 파생제품 25%
(Appendix IB 품목 대상)
</t>
    </r>
    <r>
      <rPr>
        <sz val="10"/>
        <rFont val="맑은 고딕"/>
        <family val="3"/>
        <charset val="129"/>
        <scheme val="minor"/>
      </rPr>
      <t xml:space="preserve"> - 미국산 요건 충족시 10%
* 관세 발효 4/6</t>
    </r>
    <phoneticPr fontId="1" type="noConversion"/>
  </si>
  <si>
    <t>https://www.whitehouse.gov/presidential-actions/2026/07/actions-by-the-united-states-in-the-investigations-under-section-301-of-the-trade-act-of-1974-of-the-acts-policies-and-practices-of-60-economies-related-to-the-failure-of-each-economy-to-impose-and/
https://www.korea.kr/news/policyNewsView.do?newsId=148968735</t>
    <phoneticPr fontId="1" type="noConversion"/>
  </si>
  <si>
    <t>강제노동 관련 무역법 301 추가관세 부과 발표
 - 강제노동 생산물의 수입금지 제도를 도입하지 않았거나 실효성 있게 집행하지 않는 60개 경제권 대상으로 국가별 차등 관세 부과
   ① 추가관세 10% : 영국, 캐나다, 멕시코, 인도, 인도네시아, 말레이시아 등 17개국
   ② MFN(최혜국관세) 포함 10% : 유럽연합, 대만
   ③ MFN(최혜국관세) 포함 12.5% : 한국, 일본, 스위스
   ④ 추가관세 12.5% : 중국, 브라질, 호주, 베트남, 태국, 싱가포르, UAE, 튀르키예, 남아공 등 38개국
   ※ MFN 관세 포함 관세 방식(예시)
 - 무역확장법 232조 적용 품목, 원유·가스·비료 등 일부 원자재 및 Annex에 규정된 일부 품목은 관세 적용 제외
 - 7월 24일 시행(기존 무역법 122조 임시관세 종료와 동시에 발효)</t>
    <phoneticPr fontId="1" type="noConversion"/>
  </si>
  <si>
    <t>2026.08.05</t>
    <phoneticPr fontId="1" type="noConversion"/>
  </si>
  <si>
    <t>https://www.kita.net/board/tradeNews/tradeNewsDetail.do?no=1872040</t>
    <phoneticPr fontId="1" type="noConversion"/>
  </si>
  <si>
    <t>미 국제무역법원(CIT), 301조 강제노동 관세 관련 소송일정 공지
 - 수입업체 소송 2건, 25개 주정부 소송 1건 총 3건에 대해 병합 없이 공동 일정 진행
    (뉴욕 향신료업체 Burlap &amp; Barrel 소송을 대표 사건으로 지정)
 - 서면 공방 일정: USTR 행정기관 기록물 목록 제출(8/10) → 원고 판결 신청서(8/14, 원고 3자 공동 기한) → 정부 통합 답변(9/15)
                            → 원고 답변서(9/29) → 공동 첨부문서(10/2)
 - 8월 10일은 정부가 관세 조치 근거로 삼은 전체 행정기관 기록물(Administrative Record) 목록 제출 기한이며, 법원의 사법심사 대상 범위를 확정하는 절차
 - 10월 2일까지는 서면 공방 종료 시점일 뿐이며, 구두변론일 및 판결일은 아직 미정(통상 서면 공방 종료 후 별도 지정)</t>
    <phoneticPr fontId="1" type="noConversion"/>
  </si>
  <si>
    <t>2026.08.06</t>
    <phoneticPr fontId="1" type="noConversion"/>
  </si>
  <si>
    <t>① 국가</t>
    <phoneticPr fontId="1" type="noConversion"/>
  </si>
  <si>
    <t>② 국가</t>
    <phoneticPr fontId="1" type="noConversion"/>
  </si>
  <si>
    <t>③ 국가</t>
    <phoneticPr fontId="1" type="noConversion"/>
  </si>
  <si>
    <t>원료 폴리실리콘</t>
  </si>
  <si>
    <t>잉곳·웨이퍼</t>
  </si>
  <si>
    <t>기본관세 포함 총 15%</t>
  </si>
  <si>
    <t>기본관세+15%</t>
    <phoneticPr fontId="1" type="noConversion"/>
  </si>
  <si>
    <t>기본관세+10%</t>
    <phoneticPr fontId="1" type="noConversion"/>
  </si>
  <si>
    <t>최저수입가격</t>
    <phoneticPr fontId="1" type="noConversion"/>
  </si>
  <si>
    <t>21$/kg</t>
    <phoneticPr fontId="1" type="noConversion"/>
  </si>
  <si>
    <t>100$/kg</t>
    <phoneticPr fontId="1" type="noConversion"/>
  </si>
  <si>
    <t>0.22$/W</t>
    <phoneticPr fontId="1" type="noConversion"/>
  </si>
  <si>
    <t>0.38$/W</t>
    <phoneticPr fontId="1" type="noConversion"/>
  </si>
  <si>
    <t>태양전지</t>
    <phoneticPr fontId="1" type="noConversion"/>
  </si>
  <si>
    <t>태양광 모듈</t>
    <phoneticPr fontId="1" type="noConversion"/>
  </si>
  <si>
    <t>국가</t>
  </si>
  <si>
    <t>적용 방식</t>
  </si>
  <si>
    <t>② 한국</t>
    <phoneticPr fontId="1" type="noConversion"/>
  </si>
  <si>
    <t>① 중국</t>
    <phoneticPr fontId="1" type="noConversion"/>
  </si>
  <si>
    <t>③ 영국</t>
    <phoneticPr fontId="1" type="noConversion"/>
  </si>
  <si>
    <t>kg당 관세</t>
    <phoneticPr fontId="1" type="noConversion"/>
  </si>
  <si>
    <t>※ 웨이퍼 수입가격 80$/kg이고, 기본관세 2.5% 가정시</t>
    <phoneticPr fontId="1" type="noConversion"/>
  </si>
  <si>
    <t>기본관세 + 15%(232조 관세) + MIP 미달 시 차액관세</t>
    <phoneticPr fontId="1" type="noConversion"/>
  </si>
  <si>
    <t>폴리실리콘 및 파생상품 대상 무역확장법 232조 관세 부과 발표
 - 국가안보를 이유로 폴리실리콘, 잉곳·웨이퍼, 태양전지, 태양광 모듈 수입에 대해 최저수입가격(MIP) 및 국가별 차등 관세 부과
   ① 추가관세 15% : 중국, 베트남, 말레이시아, 태국, 캄보디아, 인도 등 일반 대상국
   ② 총관세 15%(기본관세 포함) : 한국, 일본, 대만, 유럽연합, 스위스, 리히텐슈타인
   ③ 추가관세 10% : 영국
   ※ 품목별 관세
   ※ 웨이퍼 수입가격 80$/kg (최저가격 100$/kg, 기본관세 2.5% 가정)
 - 12월 4일 발효</t>
    <phoneticPr fontId="1" type="noConversion"/>
  </si>
  <si>
    <t>15%(기본관세+232조) + MIP 미달 시 차액관세</t>
    <phoneticPr fontId="1" type="noConversion"/>
  </si>
  <si>
    <t>MIP 적용 (232조 미적용)</t>
    <phoneticPr fontId="1" type="noConversion"/>
  </si>
  <si>
    <t>기본관세 + 10%(232조) + MIP 미달 시 차액관세</t>
    <phoneticPr fontId="1" type="noConversion"/>
  </si>
  <si>
    <t>https://www.whitehouse.gov/presidential-actions/2026/08/adjusting-imports-of-polysilicon-and-its-derivatives-into-the-united-states/</t>
    <phoneticPr fontId="1" type="noConversion"/>
  </si>
  <si>
    <t>* 관세 발효 12/4</t>
    <phoneticPr fontId="1" type="noConversion"/>
  </si>
  <si>
    <t>폴리실리콘</t>
    <phoneticPr fontId="1" type="noConversion"/>
  </si>
  <si>
    <r>
      <t xml:space="preserve">15%
</t>
    </r>
    <r>
      <rPr>
        <sz val="10"/>
        <color rgb="FFFF0000"/>
        <rFont val="맑은 고딕"/>
        <family val="3"/>
        <charset val="129"/>
        <scheme val="minor"/>
      </rPr>
      <t>- 기본관세 포함</t>
    </r>
    <phoneticPr fontId="1" type="noConversion"/>
  </si>
  <si>
    <r>
      <t xml:space="preserve">34$/kg </t>
    </r>
    <r>
      <rPr>
        <sz val="11"/>
        <color theme="1"/>
        <rFont val="맑은 고딕"/>
        <family val="3"/>
        <charset val="129"/>
        <scheme val="minor"/>
      </rPr>
      <t>= 80$ x 2.5% + 80$ x 15% + ($100 - $80)</t>
    </r>
    <phoneticPr fontId="1" type="noConversion"/>
  </si>
  <si>
    <r>
      <t xml:space="preserve">32$/kg </t>
    </r>
    <r>
      <rPr>
        <sz val="11"/>
        <color theme="1"/>
        <rFont val="맑은 고딕"/>
        <family val="3"/>
        <charset val="129"/>
        <scheme val="minor"/>
      </rPr>
      <t xml:space="preserve">= 80$ x 15% + ($100 - $80) </t>
    </r>
    <phoneticPr fontId="1" type="noConversion"/>
  </si>
  <si>
    <r>
      <t xml:space="preserve">30$/kg </t>
    </r>
    <r>
      <rPr>
        <sz val="11"/>
        <color theme="1"/>
        <rFont val="맑은 고딕"/>
        <family val="3"/>
        <charset val="129"/>
        <scheme val="minor"/>
      </rPr>
      <t>= 80$ x 2.5% + 80$ x 10% + ($100 - $80)</t>
    </r>
    <phoneticPr fontId="1" type="noConversion"/>
  </si>
  <si>
    <t>2026.08.13</t>
    <phoneticPr fontId="1" type="noConversion"/>
  </si>
  <si>
    <t>품목</t>
    <phoneticPr fontId="1" type="noConversion"/>
  </si>
  <si>
    <t>열화상장비 탑재 UAS</t>
    <phoneticPr fontId="1" type="noConversion"/>
  </si>
  <si>
    <t>UAS 도킹스테이션</t>
    <phoneticPr fontId="1" type="noConversion"/>
  </si>
  <si>
    <t>최대이륙중량 25kg 초과 UAS</t>
    <phoneticPr fontId="1" type="noConversion"/>
  </si>
  <si>
    <t>최대이륙중량 25kg 이하 UAS</t>
    <phoneticPr fontId="1" type="noConversion"/>
  </si>
  <si>
    <t>핵심 부품(AnnexⅠ)</t>
    <phoneticPr fontId="1" type="noConversion"/>
  </si>
  <si>
    <t>핵심 부품(AnnexⅢ)</t>
    <phoneticPr fontId="1" type="noConversion"/>
  </si>
  <si>
    <t>100% 추가관세</t>
    <phoneticPr fontId="1" type="noConversion"/>
  </si>
  <si>
    <t>25% 추가관세</t>
    <phoneticPr fontId="1" type="noConversion"/>
  </si>
  <si>
    <t>한국·일본·대만·EU·스위스·리히텐슈타인</t>
    <phoneticPr fontId="1" type="noConversion"/>
  </si>
  <si>
    <t>232조 관세(기본)</t>
    <phoneticPr fontId="1" type="noConversion"/>
  </si>
  <si>
    <t>발효일</t>
    <phoneticPr fontId="1" type="noConversion"/>
  </si>
  <si>
    <r>
      <t>무인항공시스템(UAS) 및 부품 대상 무역확장법 232조 관세 부과 발표
 - 국가안보를 이유로 드론(UAS), 도킹스테이션 및 핵심 부품 수입에 대해 관세 부과
   ① 추가관세 100% : 최대이륙중량(MTOW) 25kg 초과 드론, 열화상장비 탑재 드론, 도킹 스테이션 및 핵심 부품(AnnexⅠ)
   ② 추가관세 25% : 최대이륙중량(MTOW) 25kg 이하 드론, 핵심 부품(AnnexⅢ)
   ③ 총관세 최대 15%(기본관세 포함) : 한국, 일본, 대만, EU, 스위스, 리히텐슈타인
   ④ 총관세 최대 10%(기본관세 포함) : 영국
   ※ 단, ③</t>
    </r>
    <r>
      <rPr>
        <sz val="10"/>
        <color rgb="FFFF0000"/>
        <rFont val="맑은 고딕"/>
        <family val="3"/>
        <charset val="129"/>
      </rPr>
      <t>∙</t>
    </r>
    <r>
      <rPr>
        <sz val="10"/>
        <color rgb="FFFF0000"/>
        <rFont val="나눔스퀘어"/>
        <family val="3"/>
        <charset val="129"/>
      </rPr>
      <t>④ 경우, 요건 미충족시 기본 232조 관세율(100% or 25%) 적용
 - 9월 3일 발효 (AnnexⅢ 지정 부품은 2027년 2월 9일 발효)</t>
    </r>
    <phoneticPr fontId="1" type="noConversion"/>
  </si>
  <si>
    <t>기본관세 포함
총 10% 이하</t>
    <phoneticPr fontId="1" type="noConversion"/>
  </si>
  <si>
    <t>기본관세 포함
총 15% 이하</t>
    <phoneticPr fontId="1" type="noConversion"/>
  </si>
  <si>
    <t>https://www.whitehouse.gov/presidential-actions/2026/08/adjusting-imports-of-unmanned-aircraft-systems-and-unmanned-aircraft-systems-components-into-the-united-states/</t>
    <phoneticPr fontId="1" type="noConversion"/>
  </si>
  <si>
    <t>드론</t>
    <phoneticPr fontId="1" type="noConversion"/>
  </si>
  <si>
    <t>* 관세 발효 9/3</t>
    <phoneticPr fontId="1" type="noConversion"/>
  </si>
  <si>
    <r>
      <t xml:space="preserve">10%
</t>
    </r>
    <r>
      <rPr>
        <sz val="10"/>
        <color rgb="FFFF0000"/>
        <rFont val="맑은 고딕"/>
        <family val="3"/>
        <charset val="129"/>
        <scheme val="minor"/>
      </rPr>
      <t>- 기본관세 포함</t>
    </r>
    <phoneticPr fontId="1" type="noConversion"/>
  </si>
  <si>
    <r>
      <t xml:space="preserve">15%
</t>
    </r>
    <r>
      <rPr>
        <sz val="10"/>
        <rFont val="맑은 고딕"/>
        <family val="3"/>
        <charset val="129"/>
        <scheme val="minor"/>
      </rPr>
      <t>- 기본관세 포함</t>
    </r>
    <phoneticPr fontId="1" type="noConversion"/>
  </si>
  <si>
    <t>최대이륙중량 25kg 초과 100%
최대이륙중량 25kg 이하 25%</t>
    <phoneticPr fontId="1" type="noConversion"/>
  </si>
  <si>
    <r>
      <t xml:space="preserve">12.5%
</t>
    </r>
    <r>
      <rPr>
        <sz val="10"/>
        <rFont val="맑은 고딕"/>
        <family val="3"/>
        <charset val="129"/>
        <scheme val="minor"/>
      </rPr>
      <t>- MFN 포함</t>
    </r>
    <phoneticPr fontId="1" type="noConversion"/>
  </si>
  <si>
    <r>
      <t xml:space="preserve">10%
</t>
    </r>
    <r>
      <rPr>
        <sz val="10"/>
        <rFont val="맑은 고딕"/>
        <family val="3"/>
        <charset val="129"/>
        <scheme val="minor"/>
      </rPr>
      <t>- MFN 포함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</si>
</sst>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4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나눔스퀘어"/>
      <family val="3"/>
      <charset val="129"/>
    </font>
    <font>
      <b/>
      <sz val="10"/>
      <color theme="1"/>
      <name val="나눔스퀘어"/>
      <family val="3"/>
      <charset val="129"/>
    </font>
    <font>
      <b/>
      <sz val="11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vertAlign val="superscript"/>
      <sz val="11"/>
      <color theme="1"/>
      <name val="맑은 고딕"/>
      <family val="3"/>
      <charset val="129"/>
      <scheme val="minor"/>
    </font>
    <font>
      <sz val="10"/>
      <color rgb="FFFF0000"/>
      <name val="나눔스퀘어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0"/>
      <name val="나눔스퀘어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2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u/>
      <sz val="11"/>
      <name val="맑은 고딕"/>
      <family val="2"/>
      <charset val="129"/>
      <scheme val="minor"/>
    </font>
    <font>
      <sz val="10"/>
      <name val="나눔고딕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나눔스퀘어"/>
      <family val="3"/>
      <charset val="129"/>
    </font>
    <font>
      <b/>
      <sz val="11"/>
      <name val="바탕체"/>
      <family val="1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0"/>
      <color theme="1"/>
      <name val="바탕체"/>
      <family val="1"/>
      <charset val="129"/>
    </font>
    <font>
      <u/>
      <sz val="11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0"/>
      <color rgb="FFFF0000"/>
      <name val="나눔스퀘어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2" fillId="4" borderId="0" xfId="0" applyFont="1" applyFill="1">
      <alignment vertical="center"/>
    </xf>
    <xf numFmtId="0" fontId="0" fillId="4" borderId="0" xfId="0" applyFill="1">
      <alignment vertical="center"/>
    </xf>
    <xf numFmtId="0" fontId="2" fillId="4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readingOrder="1"/>
    </xf>
    <xf numFmtId="0" fontId="0" fillId="4" borderId="1" xfId="0" applyFill="1" applyBorder="1" applyAlignment="1">
      <alignment vertical="center" wrapText="1"/>
    </xf>
    <xf numFmtId="9" fontId="0" fillId="4" borderId="1" xfId="0" applyNumberForma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9" fontId="0" fillId="4" borderId="1" xfId="0" quotePrefix="1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9" fontId="0" fillId="4" borderId="1" xfId="0" applyNumberForma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9" fontId="0" fillId="4" borderId="2" xfId="0" applyNumberFormat="1" applyFill="1" applyBorder="1">
      <alignment vertical="center"/>
    </xf>
    <xf numFmtId="0" fontId="4" fillId="7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6" fillId="4" borderId="0" xfId="0" applyFont="1" applyFill="1">
      <alignment vertical="center"/>
    </xf>
    <xf numFmtId="0" fontId="0" fillId="4" borderId="1" xfId="0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 wrapText="1"/>
    </xf>
    <xf numFmtId="0" fontId="3" fillId="7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left" vertical="center" wrapText="1" readingOrder="1"/>
    </xf>
    <xf numFmtId="0" fontId="2" fillId="3" borderId="6" xfId="0" applyFont="1" applyFill="1" applyBorder="1" applyAlignment="1">
      <alignment horizontal="center" vertical="center" readingOrder="1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 vertical="center" wrapText="1" readingOrder="1"/>
    </xf>
    <xf numFmtId="0" fontId="2" fillId="6" borderId="1" xfId="0" applyFont="1" applyFill="1" applyBorder="1" applyAlignment="1">
      <alignment horizontal="center" vertical="center" readingOrder="1"/>
    </xf>
    <xf numFmtId="0" fontId="2" fillId="6" borderId="6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horizontal="left" vertical="center" readingOrder="1"/>
    </xf>
    <xf numFmtId="0" fontId="2" fillId="5" borderId="1" xfId="0" applyFont="1" applyFill="1" applyBorder="1" applyAlignment="1">
      <alignment horizontal="center" vertical="center" readingOrder="1"/>
    </xf>
    <xf numFmtId="0" fontId="2" fillId="5" borderId="6" xfId="0" applyFont="1" applyFill="1" applyBorder="1" applyAlignment="1">
      <alignment horizontal="center" vertical="center" readingOrder="1"/>
    </xf>
    <xf numFmtId="0" fontId="2" fillId="4" borderId="2" xfId="0" applyFont="1" applyFill="1" applyBorder="1" applyAlignment="1">
      <alignment horizontal="left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2" fillId="2" borderId="6" xfId="0" applyFont="1" applyFill="1" applyBorder="1" applyAlignment="1">
      <alignment horizontal="center" vertical="center" readingOrder="1"/>
    </xf>
    <xf numFmtId="0" fontId="0" fillId="4" borderId="0" xfId="0" applyFill="1" applyBorder="1">
      <alignment vertical="center"/>
    </xf>
    <xf numFmtId="0" fontId="0" fillId="4" borderId="0" xfId="0" applyFill="1" applyBorder="1" applyAlignment="1">
      <alignment vertical="center" wrapText="1"/>
    </xf>
    <xf numFmtId="0" fontId="0" fillId="4" borderId="0" xfId="0" quotePrefix="1" applyFill="1" applyBorder="1" applyAlignment="1">
      <alignment horizontal="center" vertical="center"/>
    </xf>
    <xf numFmtId="9" fontId="0" fillId="4" borderId="0" xfId="0" applyNumberFormat="1" applyFill="1" applyBorder="1" applyAlignment="1">
      <alignment horizontal="center" vertical="center"/>
    </xf>
    <xf numFmtId="9" fontId="0" fillId="4" borderId="0" xfId="0" applyNumberFormat="1" applyFill="1" applyBorder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11" fillId="3" borderId="1" xfId="0" applyFont="1" applyFill="1" applyBorder="1" applyAlignment="1">
      <alignment horizontal="center" vertical="center" readingOrder="1"/>
    </xf>
    <xf numFmtId="0" fontId="11" fillId="4" borderId="1" xfId="0" applyFont="1" applyFill="1" applyBorder="1" applyAlignment="1">
      <alignment horizontal="center" vertical="center" readingOrder="1"/>
    </xf>
    <xf numFmtId="0" fontId="11" fillId="4" borderId="1" xfId="0" applyFont="1" applyFill="1" applyBorder="1" applyAlignment="1">
      <alignment horizontal="left" vertical="center" wrapText="1" readingOrder="1"/>
    </xf>
    <xf numFmtId="0" fontId="11" fillId="3" borderId="6" xfId="0" applyFont="1" applyFill="1" applyBorder="1" applyAlignment="1">
      <alignment horizontal="center" vertical="center" readingOrder="1"/>
    </xf>
    <xf numFmtId="0" fontId="11" fillId="4" borderId="2" xfId="0" applyFont="1" applyFill="1" applyBorder="1" applyAlignment="1">
      <alignment vertical="center" wrapText="1"/>
    </xf>
    <xf numFmtId="0" fontId="11" fillId="4" borderId="0" xfId="0" applyFont="1" applyFill="1">
      <alignment vertical="center"/>
    </xf>
    <xf numFmtId="0" fontId="11" fillId="5" borderId="1" xfId="0" applyFont="1" applyFill="1" applyBorder="1" applyAlignment="1">
      <alignment horizontal="center" vertical="center" readingOrder="1"/>
    </xf>
    <xf numFmtId="0" fontId="11" fillId="4" borderId="1" xfId="0" quotePrefix="1" applyFont="1" applyFill="1" applyBorder="1" applyAlignment="1">
      <alignment horizontal="left" vertical="center" wrapText="1" readingOrder="1"/>
    </xf>
    <xf numFmtId="0" fontId="11" fillId="4" borderId="6" xfId="0" quotePrefix="1" applyFont="1" applyFill="1" applyBorder="1" applyAlignment="1">
      <alignment horizontal="left" vertical="center" wrapText="1" readingOrder="1"/>
    </xf>
    <xf numFmtId="0" fontId="11" fillId="4" borderId="6" xfId="0" applyFont="1" applyFill="1" applyBorder="1" applyAlignment="1">
      <alignment horizontal="left" vertical="center" wrapText="1" readingOrder="1"/>
    </xf>
    <xf numFmtId="0" fontId="2" fillId="4" borderId="6" xfId="0" applyFont="1" applyFill="1" applyBorder="1" applyAlignment="1">
      <alignment horizontal="left" vertical="center" wrapText="1" readingOrder="1"/>
    </xf>
    <xf numFmtId="0" fontId="2" fillId="4" borderId="6" xfId="0" applyFont="1" applyFill="1" applyBorder="1" applyAlignment="1">
      <alignment horizontal="left" vertical="center" readingOrder="1"/>
    </xf>
    <xf numFmtId="0" fontId="12" fillId="4" borderId="6" xfId="1" applyFill="1" applyBorder="1" applyAlignment="1">
      <alignment horizontal="left" vertical="center" wrapText="1" readingOrder="1"/>
    </xf>
    <xf numFmtId="0" fontId="13" fillId="4" borderId="0" xfId="0" applyFont="1" applyFill="1">
      <alignment vertical="center"/>
    </xf>
    <xf numFmtId="0" fontId="15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vertical="center" wrapText="1"/>
    </xf>
    <xf numFmtId="9" fontId="13" fillId="4" borderId="2" xfId="0" applyNumberFormat="1" applyFont="1" applyFill="1" applyBorder="1" applyAlignment="1">
      <alignment horizontal="right" vertical="center" wrapText="1"/>
    </xf>
    <xf numFmtId="9" fontId="13" fillId="4" borderId="2" xfId="0" applyNumberFormat="1" applyFont="1" applyFill="1" applyBorder="1" applyAlignment="1">
      <alignment horizontal="right" vertical="center"/>
    </xf>
    <xf numFmtId="9" fontId="14" fillId="4" borderId="2" xfId="0" applyNumberFormat="1" applyFont="1" applyFill="1" applyBorder="1" applyAlignment="1">
      <alignment horizontal="right" vertical="center"/>
    </xf>
    <xf numFmtId="9" fontId="16" fillId="4" borderId="2" xfId="0" applyNumberFormat="1" applyFont="1" applyFill="1" applyBorder="1" applyAlignment="1">
      <alignment horizontal="right" vertical="center"/>
    </xf>
    <xf numFmtId="9" fontId="14" fillId="4" borderId="2" xfId="0" applyNumberFormat="1" applyFont="1" applyFill="1" applyBorder="1" applyAlignment="1">
      <alignment horizontal="right" vertical="center" wrapText="1"/>
    </xf>
    <xf numFmtId="0" fontId="13" fillId="4" borderId="0" xfId="0" applyFont="1" applyFill="1" applyAlignment="1">
      <alignment horizontal="right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9" fontId="20" fillId="0" borderId="27" xfId="0" applyNumberFormat="1" applyFont="1" applyBorder="1" applyAlignment="1">
      <alignment horizontal="right" vertical="center"/>
    </xf>
    <xf numFmtId="9" fontId="21" fillId="8" borderId="9" xfId="0" applyNumberFormat="1" applyFont="1" applyFill="1" applyBorder="1" applyAlignment="1">
      <alignment horizontal="right" vertical="center"/>
    </xf>
    <xf numFmtId="9" fontId="20" fillId="0" borderId="24" xfId="0" applyNumberFormat="1" applyFont="1" applyBorder="1" applyAlignment="1">
      <alignment horizontal="right" vertical="center" wrapText="1"/>
    </xf>
    <xf numFmtId="9" fontId="21" fillId="8" borderId="28" xfId="0" applyNumberFormat="1" applyFont="1" applyFill="1" applyBorder="1" applyAlignment="1">
      <alignment horizontal="right" vertical="center" wrapText="1"/>
    </xf>
    <xf numFmtId="0" fontId="24" fillId="4" borderId="6" xfId="1" applyFont="1" applyFill="1" applyBorder="1" applyAlignment="1">
      <alignment horizontal="left" vertical="center" wrapText="1" readingOrder="1"/>
    </xf>
    <xf numFmtId="0" fontId="3" fillId="4" borderId="6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2" fillId="4" borderId="6" xfId="1" applyFill="1" applyBorder="1" applyAlignment="1">
      <alignment vertical="center" readingOrder="1"/>
    </xf>
    <xf numFmtId="0" fontId="11" fillId="4" borderId="1" xfId="0" applyFont="1" applyFill="1" applyBorder="1" applyAlignment="1">
      <alignment vertical="center" wrapText="1" readingOrder="1"/>
    </xf>
    <xf numFmtId="0" fontId="12" fillId="4" borderId="6" xfId="1" applyFill="1" applyBorder="1" applyAlignment="1">
      <alignment vertical="center" wrapText="1" readingOrder="1"/>
    </xf>
    <xf numFmtId="0" fontId="2" fillId="4" borderId="2" xfId="0" applyFont="1" applyFill="1" applyBorder="1" applyAlignment="1">
      <alignment horizontal="left" vertical="center" wrapText="1"/>
    </xf>
    <xf numFmtId="9" fontId="21" fillId="8" borderId="9" xfId="0" applyNumberFormat="1" applyFont="1" applyFill="1" applyBorder="1" applyAlignment="1">
      <alignment horizontal="right" vertical="center" wrapText="1"/>
    </xf>
    <xf numFmtId="9" fontId="21" fillId="8" borderId="28" xfId="0" applyNumberFormat="1" applyFont="1" applyFill="1" applyBorder="1" applyAlignment="1">
      <alignment horizontal="right" vertical="center"/>
    </xf>
    <xf numFmtId="9" fontId="20" fillId="0" borderId="27" xfId="0" applyNumberFormat="1" applyFont="1" applyBorder="1" applyAlignment="1">
      <alignment horizontal="right" vertical="center" wrapText="1"/>
    </xf>
    <xf numFmtId="9" fontId="20" fillId="0" borderId="24" xfId="0" applyNumberFormat="1" applyFont="1" applyBorder="1" applyAlignment="1">
      <alignment horizontal="right" vertical="center"/>
    </xf>
    <xf numFmtId="9" fontId="21" fillId="8" borderId="29" xfId="0" applyNumberFormat="1" applyFont="1" applyFill="1" applyBorder="1" applyAlignment="1">
      <alignment horizontal="right" vertical="center"/>
    </xf>
    <xf numFmtId="0" fontId="25" fillId="0" borderId="2" xfId="0" applyFont="1" applyBorder="1" applyAlignment="1">
      <alignment horizontal="left" vertical="center" wrapText="1"/>
    </xf>
    <xf numFmtId="0" fontId="26" fillId="3" borderId="2" xfId="0" applyFont="1" applyFill="1" applyBorder="1" applyAlignment="1">
      <alignment horizontal="center" vertical="center"/>
    </xf>
    <xf numFmtId="9" fontId="20" fillId="0" borderId="26" xfId="0" applyNumberFormat="1" applyFont="1" applyBorder="1" applyAlignment="1">
      <alignment horizontal="right" vertical="center" wrapText="1"/>
    </xf>
    <xf numFmtId="9" fontId="21" fillId="8" borderId="10" xfId="0" applyNumberFormat="1" applyFont="1" applyFill="1" applyBorder="1" applyAlignment="1">
      <alignment horizontal="right" vertical="center"/>
    </xf>
    <xf numFmtId="9" fontId="21" fillId="8" borderId="30" xfId="0" applyNumberFormat="1" applyFont="1" applyFill="1" applyBorder="1" applyAlignment="1">
      <alignment horizontal="right" vertical="center"/>
    </xf>
    <xf numFmtId="0" fontId="27" fillId="0" borderId="0" xfId="0" applyFont="1">
      <alignment vertical="center"/>
    </xf>
    <xf numFmtId="9" fontId="21" fillId="8" borderId="32" xfId="0" applyNumberFormat="1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center" vertical="center" readingOrder="1"/>
    </xf>
    <xf numFmtId="0" fontId="24" fillId="4" borderId="6" xfId="1" applyFont="1" applyFill="1" applyBorder="1" applyAlignment="1">
      <alignment vertical="center" wrapText="1" readingOrder="1"/>
    </xf>
    <xf numFmtId="0" fontId="28" fillId="4" borderId="6" xfId="0" applyFont="1" applyFill="1" applyBorder="1" applyAlignment="1">
      <alignment horizontal="center" vertical="center"/>
    </xf>
    <xf numFmtId="0" fontId="12" fillId="4" borderId="6" xfId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9" fontId="20" fillId="0" borderId="31" xfId="0" applyNumberFormat="1" applyFont="1" applyBorder="1" applyAlignment="1">
      <alignment horizontal="right" vertical="center" wrapText="1"/>
    </xf>
    <xf numFmtId="9" fontId="20" fillId="0" borderId="17" xfId="0" applyNumberFormat="1" applyFont="1" applyBorder="1" applyAlignment="1">
      <alignment horizontal="right" vertical="center" wrapText="1"/>
    </xf>
    <xf numFmtId="9" fontId="22" fillId="0" borderId="25" xfId="0" applyNumberFormat="1" applyFont="1" applyBorder="1" applyAlignment="1">
      <alignment horizontal="right" vertical="center" wrapText="1"/>
    </xf>
    <xf numFmtId="0" fontId="12" fillId="4" borderId="6" xfId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readingOrder="1"/>
    </xf>
    <xf numFmtId="0" fontId="11" fillId="9" borderId="1" xfId="0" applyFont="1" applyFill="1" applyBorder="1" applyAlignment="1">
      <alignment horizontal="center" vertical="center" readingOrder="1"/>
    </xf>
    <xf numFmtId="0" fontId="24" fillId="4" borderId="6" xfId="1" applyFont="1" applyFill="1" applyBorder="1" applyAlignment="1">
      <alignment horizontal="left" vertical="center" wrapText="1"/>
    </xf>
    <xf numFmtId="0" fontId="28" fillId="4" borderId="6" xfId="0" applyFont="1" applyFill="1" applyBorder="1" applyAlignment="1">
      <alignment horizontal="left" vertical="center"/>
    </xf>
    <xf numFmtId="0" fontId="28" fillId="4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4" xfId="0" applyFill="1" applyBorder="1">
      <alignment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5" xfId="0" applyFont="1" applyFill="1" applyBorder="1" applyAlignment="1">
      <alignment horizontal="center" vertical="center"/>
    </xf>
    <xf numFmtId="0" fontId="0" fillId="4" borderId="35" xfId="0" applyFill="1" applyBorder="1">
      <alignment vertical="center"/>
    </xf>
    <xf numFmtId="0" fontId="0" fillId="4" borderId="33" xfId="0" applyFill="1" applyBorder="1" applyAlignment="1">
      <alignment vertical="center" wrapText="1"/>
    </xf>
    <xf numFmtId="0" fontId="0" fillId="4" borderId="34" xfId="0" applyFill="1" applyBorder="1" applyAlignment="1">
      <alignment vertical="center" wrapText="1"/>
    </xf>
    <xf numFmtId="0" fontId="12" fillId="4" borderId="2" xfId="1" applyFill="1" applyBorder="1">
      <alignment vertical="center"/>
    </xf>
    <xf numFmtId="0" fontId="8" fillId="4" borderId="0" xfId="0" applyFont="1" applyFill="1">
      <alignment vertical="center"/>
    </xf>
    <xf numFmtId="0" fontId="2" fillId="9" borderId="1" xfId="0" applyFont="1" applyFill="1" applyBorder="1" applyAlignment="1">
      <alignment horizontal="center" vertical="center" readingOrder="1"/>
    </xf>
    <xf numFmtId="0" fontId="2" fillId="4" borderId="1" xfId="0" applyFont="1" applyFill="1" applyBorder="1" applyAlignment="1">
      <alignment vertical="center" wrapText="1" readingOrder="1"/>
    </xf>
    <xf numFmtId="0" fontId="33" fillId="4" borderId="6" xfId="1" applyFont="1" applyFill="1" applyBorder="1" applyAlignment="1">
      <alignment vertical="center" wrapText="1" readingOrder="1"/>
    </xf>
    <xf numFmtId="9" fontId="23" fillId="8" borderId="9" xfId="0" applyNumberFormat="1" applyFont="1" applyFill="1" applyBorder="1" applyAlignment="1">
      <alignment horizontal="right" vertical="center" wrapText="1"/>
    </xf>
    <xf numFmtId="0" fontId="33" fillId="4" borderId="6" xfId="1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readingOrder="1"/>
    </xf>
    <xf numFmtId="0" fontId="8" fillId="4" borderId="1" xfId="0" applyFont="1" applyFill="1" applyBorder="1" applyAlignment="1">
      <alignment horizontal="left" vertical="center" wrapText="1" readingOrder="1"/>
    </xf>
    <xf numFmtId="0" fontId="37" fillId="4" borderId="6" xfId="0" applyFont="1" applyFill="1" applyBorder="1" applyAlignment="1">
      <alignment horizontal="left" vertical="center"/>
    </xf>
    <xf numFmtId="0" fontId="37" fillId="4" borderId="2" xfId="0" applyFont="1" applyFill="1" applyBorder="1" applyAlignment="1">
      <alignment horizontal="center" vertical="center"/>
    </xf>
    <xf numFmtId="9" fontId="21" fillId="8" borderId="38" xfId="0" applyNumberFormat="1" applyFont="1" applyFill="1" applyBorder="1" applyAlignment="1">
      <alignment horizontal="right" vertical="center"/>
    </xf>
    <xf numFmtId="0" fontId="0" fillId="0" borderId="2" xfId="0" applyBorder="1" applyAlignment="1">
      <alignment horizontal="center" vertical="center" wrapText="1"/>
    </xf>
    <xf numFmtId="0" fontId="6" fillId="0" borderId="2" xfId="0" applyFont="1" applyBorder="1" applyAlignment="1">
      <alignment horizontal="righ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left" vertical="center"/>
    </xf>
    <xf numFmtId="176" fontId="20" fillId="0" borderId="20" xfId="0" applyNumberFormat="1" applyFont="1" applyBorder="1" applyAlignment="1">
      <alignment horizontal="right" vertical="center"/>
    </xf>
    <xf numFmtId="9" fontId="21" fillId="8" borderId="8" xfId="0" applyNumberFormat="1" applyFont="1" applyFill="1" applyBorder="1" applyAlignment="1">
      <alignment horizontal="right" vertical="center"/>
    </xf>
    <xf numFmtId="9" fontId="20" fillId="0" borderId="20" xfId="0" applyNumberFormat="1" applyFont="1" applyBorder="1" applyAlignment="1">
      <alignment horizontal="right" vertical="center"/>
    </xf>
    <xf numFmtId="9" fontId="21" fillId="8" borderId="37" xfId="0" applyNumberFormat="1" applyFont="1" applyFill="1" applyBorder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38" fillId="3" borderId="2" xfId="0" applyFont="1" applyFill="1" applyBorder="1" applyAlignment="1">
      <alignment horizontal="center" vertical="center"/>
    </xf>
    <xf numFmtId="9" fontId="34" fillId="0" borderId="31" xfId="0" applyNumberFormat="1" applyFont="1" applyBorder="1" applyAlignment="1">
      <alignment horizontal="right" vertical="center" wrapText="1"/>
    </xf>
    <xf numFmtId="0" fontId="39" fillId="0" borderId="0" xfId="0" applyFont="1">
      <alignment vertical="center"/>
    </xf>
    <xf numFmtId="9" fontId="20" fillId="0" borderId="20" xfId="0" applyNumberFormat="1" applyFont="1" applyBorder="1" applyAlignment="1">
      <alignment horizontal="right" vertical="center" wrapText="1"/>
    </xf>
    <xf numFmtId="176" fontId="20" fillId="0" borderId="20" xfId="0" applyNumberFormat="1" applyFont="1" applyBorder="1" applyAlignment="1">
      <alignment horizontal="right" vertical="center" wrapText="1"/>
    </xf>
    <xf numFmtId="0" fontId="31" fillId="0" borderId="16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31" fillId="0" borderId="15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9" fontId="20" fillId="0" borderId="3" xfId="0" applyNumberFormat="1" applyFont="1" applyBorder="1" applyAlignment="1">
      <alignment horizontal="left" vertical="top" wrapText="1"/>
    </xf>
    <xf numFmtId="9" fontId="20" fillId="0" borderId="4" xfId="0" applyNumberFormat="1" applyFont="1" applyBorder="1" applyAlignment="1">
      <alignment horizontal="left" vertical="top" wrapText="1"/>
    </xf>
    <xf numFmtId="9" fontId="20" fillId="0" borderId="18" xfId="0" applyNumberFormat="1" applyFont="1" applyBorder="1" applyAlignment="1">
      <alignment horizontal="left" vertical="top" wrapText="1"/>
    </xf>
    <xf numFmtId="0" fontId="26" fillId="3" borderId="19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0" fontId="26" fillId="3" borderId="33" xfId="0" applyFont="1" applyFill="1" applyBorder="1" applyAlignment="1">
      <alignment horizontal="center" vertical="center"/>
    </xf>
    <xf numFmtId="0" fontId="26" fillId="3" borderId="21" xfId="0" applyFont="1" applyFill="1" applyBorder="1" applyAlignment="1">
      <alignment horizontal="center" vertical="center"/>
    </xf>
    <xf numFmtId="0" fontId="26" fillId="3" borderId="36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5" xfId="0" applyFont="1" applyFill="1" applyBorder="1" applyAlignment="1">
      <alignment horizontal="center" vertical="center" wrapText="1"/>
    </xf>
    <xf numFmtId="0" fontId="4" fillId="7" borderId="39" xfId="0" applyFont="1" applyFill="1" applyBorder="1" applyAlignment="1">
      <alignment horizontal="center" vertical="center" wrapText="1"/>
    </xf>
    <xf numFmtId="0" fontId="4" fillId="7" borderId="40" xfId="0" applyFont="1" applyFill="1" applyBorder="1" applyAlignment="1">
      <alignment horizontal="center" vertical="center" wrapText="1"/>
    </xf>
    <xf numFmtId="9" fontId="0" fillId="4" borderId="6" xfId="0" applyNumberFormat="1" applyFill="1" applyBorder="1" applyAlignment="1">
      <alignment horizontal="center" vertical="center"/>
    </xf>
    <xf numFmtId="9" fontId="0" fillId="4" borderId="7" xfId="0" applyNumberForma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 wrapText="1"/>
    </xf>
    <xf numFmtId="0" fontId="0" fillId="4" borderId="6" xfId="0" quotePrefix="1" applyFill="1" applyBorder="1" applyAlignment="1">
      <alignment horizontal="center" vertical="center"/>
    </xf>
    <xf numFmtId="0" fontId="0" fillId="4" borderId="7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5" fillId="7" borderId="35" xfId="0" applyFont="1" applyFill="1" applyBorder="1" applyAlignment="1">
      <alignment horizontal="center" vertical="center"/>
    </xf>
    <xf numFmtId="0" fontId="15" fillId="7" borderId="40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5" xfId="0" applyFont="1" applyFill="1" applyBorder="1" applyAlignment="1">
      <alignment vertical="center"/>
    </xf>
    <xf numFmtId="0" fontId="13" fillId="4" borderId="40" xfId="0" applyFont="1" applyFill="1" applyBorder="1" applyAlignment="1">
      <alignment vertical="center"/>
    </xf>
    <xf numFmtId="0" fontId="13" fillId="4" borderId="2" xfId="0" applyFont="1" applyFill="1" applyBorder="1" applyAlignment="1">
      <alignment horizontal="center" vertical="center" wrapText="1"/>
    </xf>
    <xf numFmtId="31" fontId="41" fillId="4" borderId="2" xfId="0" applyNumberFormat="1" applyFont="1" applyFill="1" applyBorder="1" applyAlignment="1">
      <alignment horizontal="center" vertical="center"/>
    </xf>
    <xf numFmtId="9" fontId="13" fillId="4" borderId="3" xfId="0" applyNumberFormat="1" applyFont="1" applyFill="1" applyBorder="1" applyAlignment="1">
      <alignment horizontal="center" vertical="center"/>
    </xf>
    <xf numFmtId="9" fontId="13" fillId="4" borderId="4" xfId="0" applyNumberFormat="1" applyFont="1" applyFill="1" applyBorder="1" applyAlignment="1">
      <alignment horizontal="center" vertical="center"/>
    </xf>
    <xf numFmtId="9" fontId="13" fillId="4" borderId="5" xfId="0" applyNumberFormat="1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9" fontId="21" fillId="8" borderId="13" xfId="0" applyNumberFormat="1" applyFont="1" applyFill="1" applyBorder="1" applyAlignment="1">
      <alignment horizontal="right" vertical="center"/>
    </xf>
    <xf numFmtId="9" fontId="21" fillId="8" borderId="14" xfId="0" applyNumberFormat="1" applyFont="1" applyFill="1" applyBorder="1" applyAlignment="1">
      <alignment horizontal="right" vertical="center"/>
    </xf>
    <xf numFmtId="9" fontId="35" fillId="8" borderId="13" xfId="0" applyNumberFormat="1" applyFont="1" applyFill="1" applyBorder="1" applyAlignment="1">
      <alignment horizontal="right" vertical="center"/>
    </xf>
    <xf numFmtId="9" fontId="35" fillId="8" borderId="14" xfId="0" applyNumberFormat="1" applyFont="1" applyFill="1" applyBorder="1" applyAlignment="1">
      <alignment horizontal="righ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156882</xdr:colOff>
      <xdr:row>4</xdr:row>
      <xdr:rowOff>1333502</xdr:rowOff>
    </xdr:from>
    <xdr:to>
      <xdr:col>2</xdr:col>
      <xdr:colOff>5524499</xdr:colOff>
      <xdr:row>4</xdr:row>
      <xdr:rowOff>2316525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5706" y="1613649"/>
          <a:ext cx="5367617" cy="983023"/>
        </a:xfrm>
        <a:prstGeom prst="rect">
          <a:avLst/>
        </a:prstGeom>
      </xdr:spPr>
    </xdr:pic>
    <xdr:clientData/>
  </xdr:twoCellAnchor>
  <xdr:twoCellAnchor editAs="oneCell">
    <xdr:from>
      <xdr:col>2</xdr:col>
      <xdr:colOff>147779</xdr:colOff>
      <xdr:row>2</xdr:row>
      <xdr:rowOff>2089897</xdr:rowOff>
    </xdr:from>
    <xdr:to>
      <xdr:col>2</xdr:col>
      <xdr:colOff>6481155</xdr:colOff>
      <xdr:row>2</xdr:row>
      <xdr:rowOff>2800350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9879" y="2370885"/>
          <a:ext cx="6333376" cy="710453"/>
        </a:xfrm>
        <a:prstGeom prst="rect">
          <a:avLst/>
        </a:prstGeom>
      </xdr:spPr>
    </xdr:pic>
    <xdr:clientData/>
  </xdr:twoCellAnchor>
  <xdr:twoCellAnchor editAs="oneCell">
    <xdr:from>
      <xdr:col>2</xdr:col>
      <xdr:colOff>115662</xdr:colOff>
      <xdr:row>2</xdr:row>
      <xdr:rowOff>1054555</xdr:rowOff>
    </xdr:from>
    <xdr:to>
      <xdr:col>2</xdr:col>
      <xdr:colOff>4735286</xdr:colOff>
      <xdr:row>2</xdr:row>
      <xdr:rowOff>1827847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0483" y="1333502"/>
          <a:ext cx="4619624" cy="773292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1</xdr:row>
      <xdr:rowOff>1323975</xdr:rowOff>
    </xdr:from>
    <xdr:to>
      <xdr:col>2</xdr:col>
      <xdr:colOff>6324600</xdr:colOff>
      <xdr:row>1</xdr:row>
      <xdr:rowOff>2399682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8300" y="1600200"/>
          <a:ext cx="6248400" cy="10757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joongang.co.kr/article/25372368" TargetMode="External"/><Relationship Id="rId13" Type="http://schemas.openxmlformats.org/officeDocument/2006/relationships/hyperlink" Target="https://www.yna.co.kr/view/AKR20251106003800087?section=search" TargetMode="External"/><Relationship Id="rId18" Type="http://schemas.openxmlformats.org/officeDocument/2006/relationships/hyperlink" Target="https://www.kita.net/board/tradeNews/tradeNewsDetail.do?no=1865413" TargetMode="External"/><Relationship Id="rId26" Type="http://schemas.openxmlformats.org/officeDocument/2006/relationships/hyperlink" Target="https://www.yna.co.kr/view/AKR20260508012552071?section=international/all&amp;site=topnews02" TargetMode="External"/><Relationship Id="rId3" Type="http://schemas.openxmlformats.org/officeDocument/2006/relationships/hyperlink" Target="https://www.whitehouse.gov/presidential-actions/2025/07/adjusting-imports-of-copper-into-the-united-states/" TargetMode="External"/><Relationship Id="rId21" Type="http://schemas.openxmlformats.org/officeDocument/2006/relationships/hyperlink" Target="https://www.yna.co.kr/view/AKR20260122006251071?section=international/all" TargetMode="External"/><Relationship Id="rId7" Type="http://schemas.openxmlformats.org/officeDocument/2006/relationships/hyperlink" Target="https://www.whitehouse.gov/presidential-actions/2025/09/adjusting-imports-of-timber-lumber-and-their-derivative-products-into-the-united-states/" TargetMode="External"/><Relationship Id="rId12" Type="http://schemas.openxmlformats.org/officeDocument/2006/relationships/hyperlink" Target="https://www.whitehouse.gov/fact-sheets/2025/11/fact-sheet-president-donald-j-trump-strikes-deal-on-economic-and-trade-relations-with-china/" TargetMode="External"/><Relationship Id="rId17" Type="http://schemas.openxmlformats.org/officeDocument/2006/relationships/hyperlink" Target="https://www.chosun.com/economy/tech_it/2025/12/24/G2NFCNZ6AFDJFDJSWWHU4OWURY/" TargetMode="External"/><Relationship Id="rId25" Type="http://schemas.openxmlformats.org/officeDocument/2006/relationships/hyperlink" Target="https://www.whitehouse.gov/presidential-actions/2026/04/strengthening-actions-taken-to-adjust-imports-of-aluminum-steel-and-copper-into-the-united-states/" TargetMode="External"/><Relationship Id="rId2" Type="http://schemas.openxmlformats.org/officeDocument/2006/relationships/hyperlink" Target="https://www.yna.co.kr/view/AKR20250801000751087?section=international/all" TargetMode="External"/><Relationship Id="rId16" Type="http://schemas.openxmlformats.org/officeDocument/2006/relationships/hyperlink" Target="https://www.yna.co.kr/view/AKR20251211093600087?section=international/all" TargetMode="External"/><Relationship Id="rId20" Type="http://schemas.openxmlformats.org/officeDocument/2006/relationships/hyperlink" Target="https://www.yna.co.kr/view/AKR20260116005951071?section=international/all&amp;site=topnews02" TargetMode="External"/><Relationship Id="rId29" Type="http://schemas.openxmlformats.org/officeDocument/2006/relationships/hyperlink" Target="https://www.whitehouse.gov/presidential-actions/2026/08/adjusting-imports-of-polysilicon-and-its-derivatives-into-the-united-states/" TargetMode="External"/><Relationship Id="rId1" Type="http://schemas.openxmlformats.org/officeDocument/2006/relationships/hyperlink" Target="https://www.whitehouse.gov/presidential-actions/2025/07/addressing-threats-to-the-us/" TargetMode="External"/><Relationship Id="rId6" Type="http://schemas.openxmlformats.org/officeDocument/2006/relationships/hyperlink" Target="https://n.news.naver.com/article/021/0002732880" TargetMode="External"/><Relationship Id="rId11" Type="http://schemas.openxmlformats.org/officeDocument/2006/relationships/hyperlink" Target="https://www.korea.kr/news/policyNewsView.do?newsId=148953418" TargetMode="External"/><Relationship Id="rId24" Type="http://schemas.openxmlformats.org/officeDocument/2006/relationships/hyperlink" Target="https://ustr.gov/about/policy-offices/press-office/press-releases/2026/march/ustr-initiates-60-section-301-investigations-relating-failures-take-action-forced-labor" TargetMode="External"/><Relationship Id="rId32" Type="http://schemas.openxmlformats.org/officeDocument/2006/relationships/drawing" Target="../drawings/drawing1.xml"/><Relationship Id="rId5" Type="http://schemas.openxmlformats.org/officeDocument/2006/relationships/hyperlink" Target="https://www.kita.net/researchTrade/report/tradeBrief/tradeBriefDetail.do?no=2866" TargetMode="External"/><Relationship Id="rId15" Type="http://schemas.openxmlformats.org/officeDocument/2006/relationships/hyperlink" Target="https://www.whitehouse.gov/presidential-actions/2025/11/modifying-the-scope-of-the-reciprocal-tariff-with-respect-to-certain-agricultural-products/" TargetMode="External"/><Relationship Id="rId23" Type="http://schemas.openxmlformats.org/officeDocument/2006/relationships/hyperlink" Target="https://www.whitehouse.gov/presidential-actions/2026/02/imposing-a-temporary-import-surcharge-to-address-fundamental-international-payments-problems/" TargetMode="External"/><Relationship Id="rId28" Type="http://schemas.openxmlformats.org/officeDocument/2006/relationships/hyperlink" Target="https://www.kita.net/board/tradeNews/tradeNewsDetail.do?no=1872040" TargetMode="External"/><Relationship Id="rId10" Type="http://schemas.openxmlformats.org/officeDocument/2006/relationships/hyperlink" Target="https://www.federalregister.gov/documents/2025/10/16/2025-19568/notice-of-modification-and-proposed-modification-of-section-301-action-chinas-targeting-of-the?utm_source=chatgpt.com" TargetMode="External"/><Relationship Id="rId19" Type="http://schemas.openxmlformats.org/officeDocument/2006/relationships/hyperlink" Target="https://www.donga.com/news/Inter/article/all/20260113/133143539/2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whitehouse.gov/presidential-actions/2025/07/further-modifying-the-reciprocal-tariff-rates/" TargetMode="External"/><Relationship Id="rId9" Type="http://schemas.openxmlformats.org/officeDocument/2006/relationships/hyperlink" Target="https://www.whitehouse.gov/presidential-actions/2025/10/adjusting-imports-of-medium-and-heavy-duty-vehicles-medium-and-heavy-duty-vehicle-parts-and-buses-into-the-united-states/" TargetMode="External"/><Relationship Id="rId14" Type="http://schemas.openxmlformats.org/officeDocument/2006/relationships/hyperlink" Target="https://www.whitehouse.gov/presidential-actions/2025/11/modifying-the-scope-of-the-reciprocal-tariff-with-respect-to-certain-agricultural-products/" TargetMode="External"/><Relationship Id="rId22" Type="http://schemas.openxmlformats.org/officeDocument/2006/relationships/hyperlink" Target="https://www.yna.co.kr/view/AKR20260203156500104" TargetMode="External"/><Relationship Id="rId27" Type="http://schemas.openxmlformats.org/officeDocument/2006/relationships/hyperlink" Target="https://www.yna.co.kr/view/AKR20260513001652071?section=international/all" TargetMode="External"/><Relationship Id="rId30" Type="http://schemas.openxmlformats.org/officeDocument/2006/relationships/hyperlink" Target="https://www.whitehouse.gov/presidential-actions/2026/08/adjusting-imports-of-unmanned-aircraft-systems-and-unmanned-aircraft-systems-components-into-the-united-stat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deralregister.gov/documents/2024/09/18/2024-21217/notice-of-modification-chinas-acts-policies-and-practices-related-to-technology-transfer" TargetMode="External"/><Relationship Id="rId2" Type="http://schemas.openxmlformats.org/officeDocument/2006/relationships/hyperlink" Target="https://ustr.gov/sites/default/files/2018-13248.pdf" TargetMode="External"/><Relationship Id="rId1" Type="http://schemas.openxmlformats.org/officeDocument/2006/relationships/hyperlink" Target="https://www.yna.co.kr/view/GYH20180808000100044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www.chosun.com/economy/tech_it/2025/12/24/G2NFCNZ6AFDJFDJSWWHU4OWURY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2"/>
  <sheetViews>
    <sheetView tabSelected="1" zoomScaleNormal="10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C3" sqref="C3"/>
    </sheetView>
  </sheetViews>
  <sheetFormatPr defaultColWidth="9.125" defaultRowHeight="22.35" customHeight="1"/>
  <cols>
    <col min="1" max="1" width="9.25" style="1" customWidth="1"/>
    <col min="2" max="2" width="11.25" style="3" customWidth="1"/>
    <col min="3" max="3" width="89.125" style="1" customWidth="1"/>
    <col min="4" max="4" width="83.75" style="1" customWidth="1"/>
    <col min="5" max="5" width="18.125" style="1" customWidth="1"/>
    <col min="6" max="6" width="83.75" style="1" customWidth="1"/>
    <col min="7" max="16384" width="9.125" style="1"/>
  </cols>
  <sheetData>
    <row r="1" spans="1:6" ht="22.35" customHeight="1">
      <c r="A1" s="4" t="s">
        <v>26</v>
      </c>
      <c r="B1" s="4" t="s">
        <v>25</v>
      </c>
      <c r="C1" s="4" t="s">
        <v>27</v>
      </c>
      <c r="D1" s="19" t="s">
        <v>303</v>
      </c>
      <c r="E1" s="19" t="s">
        <v>132</v>
      </c>
      <c r="F1" s="23" t="s">
        <v>133</v>
      </c>
    </row>
    <row r="2" spans="1:6" s="115" customFormat="1" ht="217.5" customHeight="1">
      <c r="A2" s="91" t="s">
        <v>22</v>
      </c>
      <c r="B2" s="126" t="s">
        <v>649</v>
      </c>
      <c r="C2" s="127" t="s">
        <v>662</v>
      </c>
      <c r="D2" s="99" t="s">
        <v>665</v>
      </c>
      <c r="E2" s="128"/>
      <c r="F2" s="129"/>
    </row>
    <row r="3" spans="1:6" s="48" customFormat="1" ht="243" customHeight="1">
      <c r="A3" s="91" t="s">
        <v>22</v>
      </c>
      <c r="B3" s="44" t="s">
        <v>614</v>
      </c>
      <c r="C3" s="45" t="s">
        <v>638</v>
      </c>
      <c r="D3" s="102" t="s">
        <v>642</v>
      </c>
      <c r="E3" s="103"/>
      <c r="F3" s="104"/>
    </row>
    <row r="4" spans="1:6" s="48" customFormat="1" ht="167.25" customHeight="1">
      <c r="A4" s="43" t="s">
        <v>566</v>
      </c>
      <c r="B4" s="44" t="s">
        <v>611</v>
      </c>
      <c r="C4" s="45" t="s">
        <v>613</v>
      </c>
      <c r="D4" s="102" t="s">
        <v>612</v>
      </c>
      <c r="E4" s="103"/>
      <c r="F4" s="104"/>
    </row>
    <row r="5" spans="1:6" s="48" customFormat="1" ht="224.25" customHeight="1">
      <c r="A5" s="43" t="s">
        <v>566</v>
      </c>
      <c r="B5" s="44" t="s">
        <v>604</v>
      </c>
      <c r="C5" s="45" t="s">
        <v>610</v>
      </c>
      <c r="D5" s="102" t="s">
        <v>609</v>
      </c>
      <c r="E5" s="103"/>
      <c r="F5" s="104"/>
    </row>
    <row r="6" spans="1:6" s="48" customFormat="1" ht="108" customHeight="1">
      <c r="A6" s="91" t="s">
        <v>22</v>
      </c>
      <c r="B6" s="44" t="s">
        <v>601</v>
      </c>
      <c r="C6" s="45" t="s">
        <v>602</v>
      </c>
      <c r="D6" s="102" t="s">
        <v>603</v>
      </c>
      <c r="E6" s="103"/>
      <c r="F6" s="104"/>
    </row>
    <row r="7" spans="1:6" s="48" customFormat="1" ht="108" customHeight="1">
      <c r="A7" s="43" t="s">
        <v>566</v>
      </c>
      <c r="B7" s="44" t="s">
        <v>596</v>
      </c>
      <c r="C7" s="45" t="s">
        <v>599</v>
      </c>
      <c r="D7" s="102" t="s">
        <v>597</v>
      </c>
      <c r="E7" s="103"/>
      <c r="F7" s="104"/>
    </row>
    <row r="8" spans="1:6" s="48" customFormat="1" ht="104.25" customHeight="1">
      <c r="A8" s="91" t="s">
        <v>22</v>
      </c>
      <c r="B8" s="44" t="s">
        <v>596</v>
      </c>
      <c r="C8" s="45" t="s">
        <v>600</v>
      </c>
      <c r="D8" s="102" t="s">
        <v>598</v>
      </c>
      <c r="E8" s="103"/>
      <c r="F8" s="104"/>
    </row>
    <row r="9" spans="1:6" s="48" customFormat="1" ht="59.25" customHeight="1">
      <c r="A9" s="43" t="s">
        <v>566</v>
      </c>
      <c r="B9" s="122" t="s">
        <v>593</v>
      </c>
      <c r="C9" s="123" t="s">
        <v>595</v>
      </c>
      <c r="D9" s="102" t="s">
        <v>594</v>
      </c>
      <c r="E9" s="124"/>
      <c r="F9" s="125"/>
    </row>
    <row r="10" spans="1:6" s="48" customFormat="1" ht="76.5">
      <c r="A10" s="91" t="s">
        <v>22</v>
      </c>
      <c r="B10" s="44" t="s">
        <v>590</v>
      </c>
      <c r="C10" s="45" t="s">
        <v>592</v>
      </c>
      <c r="D10" s="102" t="s">
        <v>591</v>
      </c>
      <c r="E10" s="103"/>
      <c r="F10" s="104"/>
    </row>
    <row r="11" spans="1:6" s="48" customFormat="1" ht="161.25" customHeight="1">
      <c r="A11" s="43" t="s">
        <v>566</v>
      </c>
      <c r="B11" s="44" t="s">
        <v>586</v>
      </c>
      <c r="C11" s="45" t="s">
        <v>589</v>
      </c>
      <c r="D11" s="102" t="s">
        <v>588</v>
      </c>
      <c r="E11" s="103"/>
      <c r="F11" s="104"/>
    </row>
    <row r="12" spans="1:6" s="48" customFormat="1" ht="165.75">
      <c r="A12" s="91" t="s">
        <v>22</v>
      </c>
      <c r="B12" s="44" t="s">
        <v>583</v>
      </c>
      <c r="C12" s="45" t="s">
        <v>585</v>
      </c>
      <c r="D12" s="102" t="s">
        <v>584</v>
      </c>
      <c r="E12" s="103"/>
      <c r="F12" s="104"/>
    </row>
    <row r="13" spans="1:6" ht="95.25" customHeight="1">
      <c r="A13" s="24" t="s">
        <v>23</v>
      </c>
      <c r="B13" s="5" t="s">
        <v>580</v>
      </c>
      <c r="C13" s="25" t="s">
        <v>582</v>
      </c>
      <c r="D13" s="120" t="s">
        <v>581</v>
      </c>
      <c r="E13" s="95"/>
      <c r="F13" s="74"/>
    </row>
    <row r="14" spans="1:6" s="48" customFormat="1" ht="95.25" customHeight="1">
      <c r="A14" s="43" t="s">
        <v>23</v>
      </c>
      <c r="B14" s="44" t="s">
        <v>577</v>
      </c>
      <c r="C14" s="45" t="s">
        <v>579</v>
      </c>
      <c r="D14" s="102" t="s">
        <v>578</v>
      </c>
      <c r="E14" s="103"/>
      <c r="F14" s="104"/>
    </row>
    <row r="15" spans="1:6" s="48" customFormat="1" ht="95.25" customHeight="1">
      <c r="A15" s="91" t="s">
        <v>22</v>
      </c>
      <c r="B15" s="44" t="s">
        <v>569</v>
      </c>
      <c r="C15" s="45" t="s">
        <v>571</v>
      </c>
      <c r="D15" s="102" t="s">
        <v>572</v>
      </c>
      <c r="E15" s="103"/>
      <c r="F15" s="104"/>
    </row>
    <row r="16" spans="1:6" s="48" customFormat="1" ht="243">
      <c r="A16" s="91" t="s">
        <v>22</v>
      </c>
      <c r="B16" s="44" t="s">
        <v>569</v>
      </c>
      <c r="C16" s="45" t="s">
        <v>576</v>
      </c>
      <c r="D16" s="102" t="s">
        <v>570</v>
      </c>
      <c r="E16" s="103"/>
      <c r="F16" s="104"/>
    </row>
    <row r="17" spans="1:6" s="48" customFormat="1" ht="51">
      <c r="A17" s="43" t="s">
        <v>566</v>
      </c>
      <c r="B17" s="44" t="s">
        <v>567</v>
      </c>
      <c r="C17" s="45" t="s">
        <v>587</v>
      </c>
      <c r="D17" s="102" t="s">
        <v>568</v>
      </c>
      <c r="E17" s="103"/>
      <c r="F17" s="104"/>
    </row>
    <row r="18" spans="1:6" s="48" customFormat="1" ht="76.5">
      <c r="A18" s="43" t="s">
        <v>566</v>
      </c>
      <c r="B18" s="44" t="s">
        <v>563</v>
      </c>
      <c r="C18" s="45" t="s">
        <v>564</v>
      </c>
      <c r="D18" s="102" t="s">
        <v>565</v>
      </c>
      <c r="E18" s="103"/>
      <c r="F18" s="104"/>
    </row>
    <row r="19" spans="1:6" ht="76.5">
      <c r="A19" s="24" t="s">
        <v>23</v>
      </c>
      <c r="B19" s="5" t="s">
        <v>558</v>
      </c>
      <c r="C19" s="25" t="s">
        <v>561</v>
      </c>
      <c r="D19" s="120" t="s">
        <v>560</v>
      </c>
      <c r="E19" s="95"/>
      <c r="F19" s="74"/>
    </row>
    <row r="20" spans="1:6" ht="51">
      <c r="A20" s="24" t="s">
        <v>23</v>
      </c>
      <c r="B20" s="5" t="s">
        <v>558</v>
      </c>
      <c r="C20" s="25" t="s">
        <v>559</v>
      </c>
      <c r="D20" s="120" t="s">
        <v>562</v>
      </c>
      <c r="E20" s="95"/>
      <c r="F20" s="74"/>
    </row>
    <row r="21" spans="1:6" ht="63.75">
      <c r="A21" s="24" t="s">
        <v>23</v>
      </c>
      <c r="B21" s="5" t="s">
        <v>553</v>
      </c>
      <c r="C21" s="25" t="s">
        <v>557</v>
      </c>
      <c r="D21" s="120" t="s">
        <v>556</v>
      </c>
      <c r="E21" s="95"/>
      <c r="F21" s="74"/>
    </row>
    <row r="22" spans="1:6" ht="63.75">
      <c r="A22" s="24" t="s">
        <v>23</v>
      </c>
      <c r="B22" s="5" t="s">
        <v>553</v>
      </c>
      <c r="C22" s="25" t="s">
        <v>555</v>
      </c>
      <c r="D22" s="120" t="s">
        <v>554</v>
      </c>
      <c r="E22" s="95"/>
      <c r="F22" s="74"/>
    </row>
    <row r="23" spans="1:6" s="48" customFormat="1" ht="76.5">
      <c r="A23" s="43" t="s">
        <v>23</v>
      </c>
      <c r="B23" s="44" t="s">
        <v>550</v>
      </c>
      <c r="C23" s="45" t="s">
        <v>552</v>
      </c>
      <c r="D23" s="102" t="s">
        <v>551</v>
      </c>
      <c r="E23" s="103"/>
      <c r="F23" s="104"/>
    </row>
    <row r="24" spans="1:6" s="48" customFormat="1" ht="38.25">
      <c r="A24" s="43" t="s">
        <v>23</v>
      </c>
      <c r="B24" s="44" t="s">
        <v>547</v>
      </c>
      <c r="C24" s="45" t="s">
        <v>548</v>
      </c>
      <c r="D24" s="102" t="s">
        <v>549</v>
      </c>
      <c r="E24" s="103"/>
      <c r="F24" s="104"/>
    </row>
    <row r="25" spans="1:6" s="48" customFormat="1" ht="38.25">
      <c r="A25" s="43" t="s">
        <v>23</v>
      </c>
      <c r="B25" s="44" t="s">
        <v>544</v>
      </c>
      <c r="C25" s="45" t="s">
        <v>546</v>
      </c>
      <c r="D25" s="102" t="s">
        <v>545</v>
      </c>
      <c r="E25" s="103"/>
      <c r="F25" s="104"/>
    </row>
    <row r="26" spans="1:6" s="48" customFormat="1" ht="38.25">
      <c r="A26" s="43" t="s">
        <v>23</v>
      </c>
      <c r="B26" s="44" t="s">
        <v>542</v>
      </c>
      <c r="C26" s="45" t="s">
        <v>541</v>
      </c>
      <c r="D26" s="102" t="s">
        <v>543</v>
      </c>
      <c r="E26" s="103"/>
      <c r="F26" s="104"/>
    </row>
    <row r="27" spans="1:6" s="48" customFormat="1" ht="49.5">
      <c r="A27" s="43" t="s">
        <v>23</v>
      </c>
      <c r="B27" s="44" t="s">
        <v>538</v>
      </c>
      <c r="C27" s="45" t="s">
        <v>540</v>
      </c>
      <c r="D27" s="102" t="s">
        <v>539</v>
      </c>
      <c r="E27" s="103"/>
      <c r="F27" s="104"/>
    </row>
    <row r="28" spans="1:6" s="48" customFormat="1" ht="76.5">
      <c r="A28" s="43" t="s">
        <v>23</v>
      </c>
      <c r="B28" s="44" t="s">
        <v>533</v>
      </c>
      <c r="C28" s="45" t="s">
        <v>537</v>
      </c>
      <c r="D28" s="102" t="s">
        <v>536</v>
      </c>
      <c r="E28" s="103"/>
      <c r="F28" s="104"/>
    </row>
    <row r="29" spans="1:6" s="48" customFormat="1" ht="82.5">
      <c r="A29" s="91" t="s">
        <v>22</v>
      </c>
      <c r="B29" s="44" t="s">
        <v>533</v>
      </c>
      <c r="C29" s="45" t="s">
        <v>535</v>
      </c>
      <c r="D29" s="102" t="s">
        <v>534</v>
      </c>
      <c r="E29" s="103"/>
      <c r="F29" s="104"/>
    </row>
    <row r="30" spans="1:6" s="48" customFormat="1" ht="38.25">
      <c r="A30" s="43" t="s">
        <v>23</v>
      </c>
      <c r="B30" s="44" t="s">
        <v>530</v>
      </c>
      <c r="C30" s="45" t="s">
        <v>532</v>
      </c>
      <c r="D30" s="102" t="s">
        <v>531</v>
      </c>
      <c r="E30" s="103"/>
      <c r="F30" s="104"/>
    </row>
    <row r="31" spans="1:6" ht="80.25" customHeight="1">
      <c r="A31" s="116" t="s">
        <v>267</v>
      </c>
      <c r="B31" s="5" t="s">
        <v>524</v>
      </c>
      <c r="C31" s="117" t="s">
        <v>529</v>
      </c>
      <c r="D31" s="118" t="s">
        <v>525</v>
      </c>
      <c r="E31" s="73"/>
      <c r="F31" s="78"/>
    </row>
    <row r="32" spans="1:6" ht="80.25" customHeight="1">
      <c r="A32" s="29" t="s">
        <v>22</v>
      </c>
      <c r="B32" s="5" t="s">
        <v>526</v>
      </c>
      <c r="C32" s="117" t="s">
        <v>528</v>
      </c>
      <c r="D32" s="118" t="s">
        <v>527</v>
      </c>
      <c r="E32" s="73"/>
      <c r="F32" s="78"/>
    </row>
    <row r="33" spans="1:6" ht="80.25" customHeight="1">
      <c r="A33" s="91" t="s">
        <v>22</v>
      </c>
      <c r="B33" s="44" t="s">
        <v>495</v>
      </c>
      <c r="C33" s="76" t="s">
        <v>497</v>
      </c>
      <c r="D33" s="77" t="s">
        <v>496</v>
      </c>
      <c r="E33" s="73"/>
      <c r="F33" s="78"/>
    </row>
    <row r="34" spans="1:6" s="48" customFormat="1" ht="76.5">
      <c r="A34" s="101" t="s">
        <v>267</v>
      </c>
      <c r="B34" s="44" t="s">
        <v>492</v>
      </c>
      <c r="C34" s="45" t="s">
        <v>494</v>
      </c>
      <c r="D34" s="99" t="s">
        <v>493</v>
      </c>
      <c r="E34" s="103"/>
      <c r="F34" s="104"/>
    </row>
    <row r="35" spans="1:6" ht="76.5">
      <c r="A35" s="24" t="s">
        <v>23</v>
      </c>
      <c r="B35" s="5" t="s">
        <v>490</v>
      </c>
      <c r="C35" s="25" t="s">
        <v>491</v>
      </c>
      <c r="D35" s="99" t="s">
        <v>488</v>
      </c>
      <c r="E35" s="95"/>
      <c r="F35" s="74"/>
    </row>
    <row r="36" spans="1:6" ht="51">
      <c r="A36" s="24" t="s">
        <v>23</v>
      </c>
      <c r="B36" s="5" t="s">
        <v>487</v>
      </c>
      <c r="C36" s="25" t="s">
        <v>489</v>
      </c>
      <c r="D36" s="99" t="s">
        <v>488</v>
      </c>
      <c r="E36" s="95"/>
      <c r="F36" s="74"/>
    </row>
    <row r="37" spans="1:6" s="48" customFormat="1" ht="49.5">
      <c r="A37" s="101" t="s">
        <v>267</v>
      </c>
      <c r="B37" s="44" t="s">
        <v>481</v>
      </c>
      <c r="C37" s="45" t="s">
        <v>484</v>
      </c>
      <c r="D37" s="102" t="s">
        <v>485</v>
      </c>
      <c r="E37" s="103"/>
      <c r="F37" s="104"/>
    </row>
    <row r="38" spans="1:6" ht="101.65" customHeight="1">
      <c r="A38" s="43" t="s">
        <v>23</v>
      </c>
      <c r="B38" s="44" t="s">
        <v>481</v>
      </c>
      <c r="C38" s="45" t="s">
        <v>483</v>
      </c>
      <c r="D38" s="99" t="s">
        <v>482</v>
      </c>
      <c r="E38" s="95"/>
      <c r="F38" s="74"/>
    </row>
    <row r="39" spans="1:6" ht="51">
      <c r="A39" s="43" t="s">
        <v>23</v>
      </c>
      <c r="B39" s="44" t="s">
        <v>478</v>
      </c>
      <c r="C39" s="45" t="s">
        <v>480</v>
      </c>
      <c r="D39" s="94" t="s">
        <v>479</v>
      </c>
      <c r="E39" s="95"/>
      <c r="F39" s="74"/>
    </row>
    <row r="40" spans="1:6" ht="51">
      <c r="A40" s="43" t="s">
        <v>23</v>
      </c>
      <c r="B40" s="5" t="s">
        <v>472</v>
      </c>
      <c r="C40" s="25" t="s">
        <v>475</v>
      </c>
      <c r="D40" s="94" t="s">
        <v>474</v>
      </c>
      <c r="E40" s="95"/>
      <c r="F40" s="74"/>
    </row>
    <row r="41" spans="1:6" ht="38.25">
      <c r="A41" s="35" t="s">
        <v>24</v>
      </c>
      <c r="B41" s="5" t="s">
        <v>472</v>
      </c>
      <c r="C41" s="25" t="s">
        <v>473</v>
      </c>
      <c r="D41" s="94" t="s">
        <v>474</v>
      </c>
      <c r="E41" s="95"/>
      <c r="F41" s="74"/>
    </row>
    <row r="42" spans="1:6" ht="76.5">
      <c r="A42" s="43" t="s">
        <v>23</v>
      </c>
      <c r="B42" s="44" t="s">
        <v>469</v>
      </c>
      <c r="C42" s="45" t="s">
        <v>470</v>
      </c>
      <c r="D42" s="94" t="s">
        <v>471</v>
      </c>
      <c r="E42" s="95"/>
      <c r="F42" s="74"/>
    </row>
    <row r="43" spans="1:6" ht="80.25" customHeight="1">
      <c r="A43" s="29" t="s">
        <v>22</v>
      </c>
      <c r="B43" s="44" t="s">
        <v>460</v>
      </c>
      <c r="C43" s="76" t="s">
        <v>463</v>
      </c>
      <c r="D43" s="77" t="s">
        <v>461</v>
      </c>
      <c r="E43" s="73"/>
      <c r="F43" s="84" t="s">
        <v>462</v>
      </c>
    </row>
    <row r="44" spans="1:6" s="48" customFormat="1" ht="80.25" customHeight="1">
      <c r="A44" s="91" t="s">
        <v>22</v>
      </c>
      <c r="B44" s="44" t="s">
        <v>467</v>
      </c>
      <c r="C44" s="76" t="s">
        <v>468</v>
      </c>
      <c r="D44" s="92" t="s">
        <v>466</v>
      </c>
      <c r="E44" s="93"/>
      <c r="F44" s="84" t="s">
        <v>462</v>
      </c>
    </row>
    <row r="45" spans="1:6" ht="80.25" customHeight="1">
      <c r="A45" s="29" t="s">
        <v>22</v>
      </c>
      <c r="B45" s="44" t="s">
        <v>457</v>
      </c>
      <c r="C45" s="76" t="s">
        <v>459</v>
      </c>
      <c r="D45" s="77" t="s">
        <v>458</v>
      </c>
      <c r="E45" s="73"/>
      <c r="F45" s="78"/>
    </row>
    <row r="46" spans="1:6" ht="80.25" customHeight="1">
      <c r="A46" s="29" t="s">
        <v>22</v>
      </c>
      <c r="B46" s="44" t="s">
        <v>448</v>
      </c>
      <c r="C46" s="76" t="s">
        <v>455</v>
      </c>
      <c r="D46" s="77" t="s">
        <v>449</v>
      </c>
      <c r="E46" s="73"/>
      <c r="F46" s="78"/>
    </row>
    <row r="47" spans="1:6" ht="80.25" customHeight="1">
      <c r="A47" s="29" t="s">
        <v>22</v>
      </c>
      <c r="B47" s="44" t="s">
        <v>446</v>
      </c>
      <c r="C47" s="76" t="s">
        <v>456</v>
      </c>
      <c r="D47" s="77" t="s">
        <v>447</v>
      </c>
      <c r="E47" s="73"/>
      <c r="F47" s="78"/>
    </row>
    <row r="48" spans="1:6" ht="80.25" customHeight="1">
      <c r="A48" s="100" t="s">
        <v>267</v>
      </c>
      <c r="B48" s="44" t="s">
        <v>441</v>
      </c>
      <c r="C48" s="76" t="s">
        <v>443</v>
      </c>
      <c r="D48" s="77" t="s">
        <v>442</v>
      </c>
      <c r="E48" s="73"/>
      <c r="F48" s="78"/>
    </row>
    <row r="49" spans="1:6" ht="80.25" customHeight="1">
      <c r="A49" s="43" t="s">
        <v>23</v>
      </c>
      <c r="B49" s="44" t="s">
        <v>437</v>
      </c>
      <c r="C49" s="76" t="s">
        <v>439</v>
      </c>
      <c r="D49" s="77" t="s">
        <v>438</v>
      </c>
      <c r="E49" s="73"/>
      <c r="F49" s="78" t="s">
        <v>440</v>
      </c>
    </row>
    <row r="50" spans="1:6" ht="69" customHeight="1">
      <c r="A50" s="43" t="s">
        <v>23</v>
      </c>
      <c r="B50" s="44" t="s">
        <v>434</v>
      </c>
      <c r="C50" s="76" t="s">
        <v>435</v>
      </c>
      <c r="D50" s="75" t="s">
        <v>436</v>
      </c>
      <c r="E50" s="73"/>
      <c r="F50" s="74"/>
    </row>
    <row r="51" spans="1:6" s="48" customFormat="1" ht="60.4" customHeight="1">
      <c r="A51" s="43" t="s">
        <v>23</v>
      </c>
      <c r="B51" s="44" t="s">
        <v>430</v>
      </c>
      <c r="C51" s="45" t="s">
        <v>432</v>
      </c>
      <c r="D51" s="55" t="s">
        <v>431</v>
      </c>
      <c r="E51" s="46"/>
      <c r="F51" s="47" t="s">
        <v>433</v>
      </c>
    </row>
    <row r="52" spans="1:6" s="48" customFormat="1" ht="98.1" customHeight="1">
      <c r="A52" s="29" t="s">
        <v>22</v>
      </c>
      <c r="B52" s="44" t="s">
        <v>427</v>
      </c>
      <c r="C52" s="45" t="s">
        <v>429</v>
      </c>
      <c r="D52" s="55" t="s">
        <v>428</v>
      </c>
      <c r="E52" s="46"/>
      <c r="F52" s="47"/>
    </row>
    <row r="53" spans="1:6" s="48" customFormat="1" ht="38.25">
      <c r="A53" s="43" t="s">
        <v>23</v>
      </c>
      <c r="B53" s="44" t="s">
        <v>424</v>
      </c>
      <c r="C53" s="45" t="s">
        <v>425</v>
      </c>
      <c r="D53" s="55" t="s">
        <v>423</v>
      </c>
      <c r="E53" s="46"/>
      <c r="F53" s="47"/>
    </row>
    <row r="54" spans="1:6" s="48" customFormat="1" ht="38.25">
      <c r="A54" s="43" t="s">
        <v>23</v>
      </c>
      <c r="B54" s="44" t="s">
        <v>414</v>
      </c>
      <c r="C54" s="45" t="s">
        <v>416</v>
      </c>
      <c r="D54" s="72" t="s">
        <v>413</v>
      </c>
      <c r="E54" s="46"/>
      <c r="F54" s="47"/>
    </row>
    <row r="55" spans="1:6" s="48" customFormat="1" ht="96" customHeight="1">
      <c r="A55" s="43" t="s">
        <v>23</v>
      </c>
      <c r="B55" s="44" t="s">
        <v>301</v>
      </c>
      <c r="C55" s="45" t="s">
        <v>417</v>
      </c>
      <c r="D55" s="55" t="s">
        <v>412</v>
      </c>
      <c r="E55" s="46" t="s">
        <v>127</v>
      </c>
      <c r="F55" s="47"/>
    </row>
    <row r="56" spans="1:6" s="48" customFormat="1" ht="89.25">
      <c r="A56" s="43" t="s">
        <v>23</v>
      </c>
      <c r="B56" s="44" t="s">
        <v>301</v>
      </c>
      <c r="C56" s="45" t="s">
        <v>415</v>
      </c>
      <c r="D56" s="55" t="s">
        <v>411</v>
      </c>
      <c r="E56" s="46" t="s">
        <v>127</v>
      </c>
      <c r="F56" s="47"/>
    </row>
    <row r="57" spans="1:6" s="48" customFormat="1" ht="51">
      <c r="A57" s="43" t="s">
        <v>23</v>
      </c>
      <c r="B57" s="44" t="s">
        <v>296</v>
      </c>
      <c r="C57" s="45" t="s">
        <v>305</v>
      </c>
      <c r="D57" s="55" t="s">
        <v>302</v>
      </c>
      <c r="E57" s="46" t="s">
        <v>127</v>
      </c>
      <c r="F57" s="47"/>
    </row>
    <row r="58" spans="1:6" s="48" customFormat="1" ht="38.25">
      <c r="A58" s="29" t="s">
        <v>22</v>
      </c>
      <c r="B58" s="44" t="s">
        <v>296</v>
      </c>
      <c r="C58" s="45" t="s">
        <v>426</v>
      </c>
      <c r="D58" s="55" t="s">
        <v>304</v>
      </c>
      <c r="E58" s="46"/>
      <c r="F58" s="47"/>
    </row>
    <row r="59" spans="1:6" s="48" customFormat="1" ht="102">
      <c r="A59" s="49" t="s">
        <v>28</v>
      </c>
      <c r="B59" s="44" t="s">
        <v>296</v>
      </c>
      <c r="C59" s="50" t="s">
        <v>299</v>
      </c>
      <c r="D59" s="51"/>
      <c r="E59" s="46"/>
      <c r="F59" s="47"/>
    </row>
    <row r="60" spans="1:6" s="48" customFormat="1" ht="25.5">
      <c r="A60" s="43" t="s">
        <v>23</v>
      </c>
      <c r="B60" s="44" t="s">
        <v>296</v>
      </c>
      <c r="C60" s="45" t="s">
        <v>297</v>
      </c>
      <c r="D60" s="52"/>
      <c r="E60" s="46" t="s">
        <v>127</v>
      </c>
      <c r="F60" s="47"/>
    </row>
    <row r="61" spans="1:6" s="48" customFormat="1" ht="51">
      <c r="A61" s="43" t="s">
        <v>23</v>
      </c>
      <c r="B61" s="44" t="s">
        <v>230</v>
      </c>
      <c r="C61" s="45" t="s">
        <v>300</v>
      </c>
      <c r="D61" s="52"/>
      <c r="E61" s="46" t="s">
        <v>127</v>
      </c>
      <c r="F61" s="47"/>
    </row>
    <row r="62" spans="1:6" s="48" customFormat="1" ht="89.25">
      <c r="A62" s="43" t="s">
        <v>23</v>
      </c>
      <c r="B62" s="44" t="s">
        <v>225</v>
      </c>
      <c r="C62" s="45" t="s">
        <v>231</v>
      </c>
      <c r="D62" s="52"/>
      <c r="E62" s="46" t="s">
        <v>127</v>
      </c>
      <c r="F62" s="47"/>
    </row>
    <row r="63" spans="1:6" ht="38.25">
      <c r="A63" s="24" t="s">
        <v>23</v>
      </c>
      <c r="B63" s="5" t="s">
        <v>216</v>
      </c>
      <c r="C63" s="25" t="s">
        <v>220</v>
      </c>
      <c r="D63" s="53"/>
      <c r="E63" s="26" t="s">
        <v>127</v>
      </c>
      <c r="F63" s="27" t="s">
        <v>221</v>
      </c>
    </row>
    <row r="64" spans="1:6" ht="25.5">
      <c r="A64" s="24" t="s">
        <v>23</v>
      </c>
      <c r="B64" s="5" t="s">
        <v>208</v>
      </c>
      <c r="C64" s="25" t="s">
        <v>209</v>
      </c>
      <c r="D64" s="53"/>
      <c r="E64" s="26"/>
      <c r="F64" s="27"/>
    </row>
    <row r="65" spans="1:6" ht="25.5">
      <c r="A65" s="24" t="s">
        <v>23</v>
      </c>
      <c r="B65" s="5" t="s">
        <v>210</v>
      </c>
      <c r="C65" s="25" t="s">
        <v>211</v>
      </c>
      <c r="D65" s="53"/>
      <c r="E65" s="26"/>
      <c r="F65" s="27"/>
    </row>
    <row r="66" spans="1:6" ht="38.25">
      <c r="A66" s="24" t="s">
        <v>23</v>
      </c>
      <c r="B66" s="5" t="s">
        <v>192</v>
      </c>
      <c r="C66" s="25" t="s">
        <v>193</v>
      </c>
      <c r="D66" s="53"/>
      <c r="E66" s="26" t="s">
        <v>127</v>
      </c>
      <c r="F66" s="27" t="s">
        <v>200</v>
      </c>
    </row>
    <row r="67" spans="1:6" ht="113.65" customHeight="1">
      <c r="A67" s="24" t="s">
        <v>23</v>
      </c>
      <c r="B67" s="5" t="s">
        <v>108</v>
      </c>
      <c r="C67" s="25" t="s">
        <v>109</v>
      </c>
      <c r="D67" s="53"/>
      <c r="E67" s="26" t="s">
        <v>127</v>
      </c>
      <c r="F67" s="27" t="s">
        <v>136</v>
      </c>
    </row>
    <row r="68" spans="1:6" ht="51">
      <c r="A68" s="32" t="s">
        <v>28</v>
      </c>
      <c r="B68" s="5" t="s">
        <v>217</v>
      </c>
      <c r="C68" s="25" t="s">
        <v>298</v>
      </c>
      <c r="D68" s="53"/>
      <c r="E68" s="26" t="s">
        <v>129</v>
      </c>
      <c r="F68" s="27" t="s">
        <v>222</v>
      </c>
    </row>
    <row r="69" spans="1:6" ht="59.25" customHeight="1">
      <c r="A69" s="24" t="s">
        <v>23</v>
      </c>
      <c r="B69" s="5" t="s">
        <v>107</v>
      </c>
      <c r="C69" s="25" t="s">
        <v>105</v>
      </c>
      <c r="D69" s="53"/>
      <c r="E69" s="26" t="s">
        <v>127</v>
      </c>
      <c r="F69" s="28" t="s">
        <v>110</v>
      </c>
    </row>
    <row r="70" spans="1:6" ht="86.25" customHeight="1">
      <c r="A70" s="24" t="s">
        <v>23</v>
      </c>
      <c r="B70" s="5" t="s">
        <v>99</v>
      </c>
      <c r="C70" s="25" t="s">
        <v>106</v>
      </c>
      <c r="D70" s="53"/>
      <c r="E70" s="26" t="s">
        <v>127</v>
      </c>
      <c r="F70" s="28" t="s">
        <v>111</v>
      </c>
    </row>
    <row r="71" spans="1:6" ht="45" customHeight="1">
      <c r="A71" s="29" t="s">
        <v>22</v>
      </c>
      <c r="B71" s="5" t="s">
        <v>6</v>
      </c>
      <c r="C71" s="25" t="s">
        <v>60</v>
      </c>
      <c r="D71" s="53"/>
      <c r="E71" s="30" t="s">
        <v>128</v>
      </c>
      <c r="F71" s="28" t="s">
        <v>137</v>
      </c>
    </row>
    <row r="72" spans="1:6" ht="22.35" customHeight="1">
      <c r="A72" s="24" t="s">
        <v>23</v>
      </c>
      <c r="B72" s="5" t="s">
        <v>7</v>
      </c>
      <c r="C72" s="31" t="s">
        <v>0</v>
      </c>
      <c r="D72" s="54"/>
      <c r="E72" s="26" t="s">
        <v>127</v>
      </c>
      <c r="F72" s="28" t="s">
        <v>112</v>
      </c>
    </row>
    <row r="73" spans="1:6" ht="35.1" customHeight="1">
      <c r="A73" s="29" t="s">
        <v>22</v>
      </c>
      <c r="B73" s="5" t="s">
        <v>8</v>
      </c>
      <c r="C73" s="25" t="s">
        <v>61</v>
      </c>
      <c r="D73" s="53"/>
      <c r="E73" s="30" t="s">
        <v>128</v>
      </c>
      <c r="F73" s="28" t="s">
        <v>134</v>
      </c>
    </row>
    <row r="74" spans="1:6" ht="22.35" customHeight="1">
      <c r="A74" s="24" t="s">
        <v>23</v>
      </c>
      <c r="B74" s="5" t="s">
        <v>9</v>
      </c>
      <c r="C74" s="31" t="s">
        <v>1</v>
      </c>
      <c r="D74" s="54"/>
      <c r="E74" s="26" t="s">
        <v>127</v>
      </c>
      <c r="F74" s="28" t="s">
        <v>135</v>
      </c>
    </row>
    <row r="75" spans="1:6" ht="22.35" customHeight="1">
      <c r="A75" s="24" t="s">
        <v>23</v>
      </c>
      <c r="B75" s="5" t="s">
        <v>10</v>
      </c>
      <c r="C75" s="31" t="s">
        <v>63</v>
      </c>
      <c r="D75" s="54"/>
      <c r="E75" s="26" t="s">
        <v>127</v>
      </c>
      <c r="F75" s="28" t="s">
        <v>113</v>
      </c>
    </row>
    <row r="76" spans="1:6" ht="67.5" customHeight="1">
      <c r="A76" s="24" t="s">
        <v>23</v>
      </c>
      <c r="B76" s="5" t="s">
        <v>11</v>
      </c>
      <c r="C76" s="25" t="s">
        <v>62</v>
      </c>
      <c r="D76" s="53"/>
      <c r="E76" s="26" t="s">
        <v>127</v>
      </c>
      <c r="F76" s="28" t="s">
        <v>114</v>
      </c>
    </row>
    <row r="77" spans="1:6" ht="45" customHeight="1">
      <c r="A77" s="32" t="s">
        <v>28</v>
      </c>
      <c r="B77" s="5" t="s">
        <v>11</v>
      </c>
      <c r="C77" s="25" t="s">
        <v>29</v>
      </c>
      <c r="D77" s="53"/>
      <c r="E77" s="33" t="s">
        <v>129</v>
      </c>
      <c r="F77" s="28" t="s">
        <v>115</v>
      </c>
    </row>
    <row r="78" spans="1:6" ht="22.35" customHeight="1">
      <c r="A78" s="29" t="s">
        <v>22</v>
      </c>
      <c r="B78" s="5" t="s">
        <v>32</v>
      </c>
      <c r="C78" s="25" t="s">
        <v>35</v>
      </c>
      <c r="D78" s="53"/>
      <c r="E78" s="30" t="s">
        <v>130</v>
      </c>
      <c r="F78" s="28" t="s">
        <v>116</v>
      </c>
    </row>
    <row r="79" spans="1:6" ht="45" customHeight="1">
      <c r="A79" s="24" t="s">
        <v>23</v>
      </c>
      <c r="B79" s="5" t="s">
        <v>12</v>
      </c>
      <c r="C79" s="25" t="s">
        <v>59</v>
      </c>
      <c r="D79" s="53"/>
      <c r="E79" s="26" t="s">
        <v>127</v>
      </c>
      <c r="F79" s="28" t="s">
        <v>117</v>
      </c>
    </row>
    <row r="80" spans="1:6" ht="45" customHeight="1">
      <c r="A80" s="32" t="s">
        <v>28</v>
      </c>
      <c r="B80" s="5" t="s">
        <v>12</v>
      </c>
      <c r="C80" s="25" t="s">
        <v>223</v>
      </c>
      <c r="D80" s="53"/>
      <c r="E80" s="33" t="s">
        <v>129</v>
      </c>
      <c r="F80" s="28" t="s">
        <v>224</v>
      </c>
    </row>
    <row r="81" spans="1:6" ht="22.35" customHeight="1">
      <c r="A81" s="24" t="s">
        <v>23</v>
      </c>
      <c r="B81" s="5" t="s">
        <v>13</v>
      </c>
      <c r="C81" s="31" t="s">
        <v>67</v>
      </c>
      <c r="D81" s="54"/>
      <c r="E81" s="26" t="s">
        <v>127</v>
      </c>
      <c r="F81" s="28" t="s">
        <v>118</v>
      </c>
    </row>
    <row r="82" spans="1:6" ht="45" customHeight="1">
      <c r="A82" s="32" t="s">
        <v>28</v>
      </c>
      <c r="B82" s="5" t="s">
        <v>13</v>
      </c>
      <c r="C82" s="25" t="s">
        <v>30</v>
      </c>
      <c r="D82" s="53"/>
      <c r="E82" s="33" t="s">
        <v>129</v>
      </c>
      <c r="F82" s="28" t="s">
        <v>138</v>
      </c>
    </row>
    <row r="83" spans="1:6" ht="22.35" customHeight="1">
      <c r="A83" s="24" t="s">
        <v>23</v>
      </c>
      <c r="B83" s="5" t="s">
        <v>14</v>
      </c>
      <c r="C83" s="31" t="s">
        <v>2</v>
      </c>
      <c r="D83" s="54"/>
      <c r="E83" s="26" t="s">
        <v>127</v>
      </c>
      <c r="F83" s="34" t="s">
        <v>119</v>
      </c>
    </row>
    <row r="84" spans="1:6" ht="22.35" customHeight="1">
      <c r="A84" s="29" t="s">
        <v>22</v>
      </c>
      <c r="B84" s="5" t="s">
        <v>33</v>
      </c>
      <c r="C84" s="31" t="s">
        <v>34</v>
      </c>
      <c r="D84" s="54"/>
      <c r="E84" s="30" t="s">
        <v>130</v>
      </c>
      <c r="F84" s="34" t="s">
        <v>120</v>
      </c>
    </row>
    <row r="85" spans="1:6" ht="100.15" customHeight="1">
      <c r="A85" s="24" t="s">
        <v>23</v>
      </c>
      <c r="B85" s="5" t="s">
        <v>15</v>
      </c>
      <c r="C85" s="25" t="s">
        <v>66</v>
      </c>
      <c r="D85" s="53"/>
      <c r="E85" s="26" t="s">
        <v>127</v>
      </c>
      <c r="F85" s="28" t="s">
        <v>139</v>
      </c>
    </row>
    <row r="86" spans="1:6" ht="60" customHeight="1">
      <c r="A86" s="32" t="s">
        <v>28</v>
      </c>
      <c r="B86" s="5" t="s">
        <v>15</v>
      </c>
      <c r="C86" s="25" t="s">
        <v>31</v>
      </c>
      <c r="D86" s="53"/>
      <c r="E86" s="33" t="s">
        <v>129</v>
      </c>
      <c r="F86" s="28" t="s">
        <v>140</v>
      </c>
    </row>
    <row r="87" spans="1:6" ht="22.35" customHeight="1">
      <c r="A87" s="29" t="s">
        <v>22</v>
      </c>
      <c r="B87" s="5" t="s">
        <v>16</v>
      </c>
      <c r="C87" s="31" t="s">
        <v>36</v>
      </c>
      <c r="D87" s="54"/>
      <c r="E87" s="30" t="s">
        <v>128</v>
      </c>
      <c r="F87" s="34" t="s">
        <v>121</v>
      </c>
    </row>
    <row r="88" spans="1:6" ht="22.35" customHeight="1">
      <c r="A88" s="35" t="s">
        <v>24</v>
      </c>
      <c r="B88" s="5" t="s">
        <v>17</v>
      </c>
      <c r="C88" s="31" t="s">
        <v>3</v>
      </c>
      <c r="D88" s="54"/>
      <c r="E88" s="36" t="s">
        <v>131</v>
      </c>
      <c r="F88" s="28" t="s">
        <v>122</v>
      </c>
    </row>
    <row r="89" spans="1:6" ht="22.35" customHeight="1">
      <c r="A89" s="35" t="s">
        <v>24</v>
      </c>
      <c r="B89" s="5" t="s">
        <v>18</v>
      </c>
      <c r="C89" s="31" t="s">
        <v>4</v>
      </c>
      <c r="D89" s="54"/>
      <c r="E89" s="36" t="s">
        <v>131</v>
      </c>
      <c r="F89" s="28" t="s">
        <v>123</v>
      </c>
    </row>
    <row r="90" spans="1:6" ht="22.35" customHeight="1">
      <c r="A90" s="35" t="s">
        <v>24</v>
      </c>
      <c r="B90" s="5" t="s">
        <v>19</v>
      </c>
      <c r="C90" s="31" t="s">
        <v>5</v>
      </c>
      <c r="D90" s="54"/>
      <c r="E90" s="36" t="s">
        <v>131</v>
      </c>
      <c r="F90" s="34" t="s">
        <v>124</v>
      </c>
    </row>
    <row r="91" spans="1:6" ht="22.35" customHeight="1">
      <c r="A91" s="35" t="s">
        <v>24</v>
      </c>
      <c r="B91" s="5" t="s">
        <v>20</v>
      </c>
      <c r="C91" s="31" t="s">
        <v>65</v>
      </c>
      <c r="D91" s="54"/>
      <c r="E91" s="36" t="s">
        <v>131</v>
      </c>
      <c r="F91" s="34" t="s">
        <v>125</v>
      </c>
    </row>
    <row r="92" spans="1:6" ht="22.35" customHeight="1">
      <c r="A92" s="35" t="s">
        <v>24</v>
      </c>
      <c r="B92" s="5" t="s">
        <v>21</v>
      </c>
      <c r="C92" s="31" t="s">
        <v>64</v>
      </c>
      <c r="D92" s="54"/>
      <c r="E92" s="36" t="s">
        <v>131</v>
      </c>
      <c r="F92" s="28" t="s">
        <v>126</v>
      </c>
    </row>
  </sheetData>
  <autoFilter ref="A1:E92"/>
  <phoneticPr fontId="1" type="noConversion"/>
  <hyperlinks>
    <hyperlink ref="D57" r:id="rId1"/>
    <hyperlink ref="D56" r:id="rId2" display="https://www.yna.co.kr/view/AKR20250801000751087?section=international/all"/>
    <hyperlink ref="D58" r:id="rId3"/>
    <hyperlink ref="D55" r:id="rId4"/>
    <hyperlink ref="D52" r:id="rId5"/>
    <hyperlink ref="D50" r:id="rId6"/>
    <hyperlink ref="D46" r:id="rId7" display="https://www.whitehouse.gov/presidential-actions/2025/09/adjusting-imports-of-timber-lumber-and-their-derivative-products-into-the-united-states/"/>
    <hyperlink ref="D45" r:id="rId8"/>
    <hyperlink ref="D43" r:id="rId9"/>
    <hyperlink ref="D44" r:id="rId10" display="https://www.federalregister.gov/documents/2025/10/16/2025-19568/notice-of-modification-and-proposed-modification-of-section-301-action-chinas-targeting-of-the?utm_source=chatgpt.com"/>
    <hyperlink ref="D42" r:id="rId11"/>
    <hyperlink ref="D39" r:id="rId12"/>
    <hyperlink ref="D37" r:id="rId13" display="https://www.yna.co.kr/view/AKR20251106003800087?section=search"/>
    <hyperlink ref="D36" r:id="rId14"/>
    <hyperlink ref="D35" r:id="rId15"/>
    <hyperlink ref="D34" r:id="rId16"/>
    <hyperlink ref="D33" r:id="rId17" display="https://www.chosun.com/economy/tech_it/2025/12/24/G2NFCNZ6AFDJFDJSWWHU4OWURY/"/>
    <hyperlink ref="D32" r:id="rId18" display="https://www.kita.net/board/tradeNews/tradeNewsDetail.do?no=1865413"/>
    <hyperlink ref="D30" r:id="rId19"/>
    <hyperlink ref="D28" r:id="rId20"/>
    <hyperlink ref="D26" r:id="rId21"/>
    <hyperlink ref="D23" r:id="rId22"/>
    <hyperlink ref="D19" r:id="rId23"/>
    <hyperlink ref="D17" r:id="rId24"/>
    <hyperlink ref="D16" r:id="rId25"/>
    <hyperlink ref="D14" r:id="rId26"/>
    <hyperlink ref="D13" r:id="rId27"/>
    <hyperlink ref="D9" display="https://www.kita.net/board/tradeNews/tradeNewsDetail.do?no=1871429_x000a_https://ustr.gov/about/policy-offices/press-office/press-releases/2026/july/ustr-section-301-action-brazils-unreasonable-acts-policies-and-practices"/>
    <hyperlink ref="D4" r:id="rId28"/>
    <hyperlink ref="D3" r:id="rId29"/>
    <hyperlink ref="D2" r:id="rId30"/>
  </hyperlinks>
  <pageMargins left="0.25" right="0.25" top="0.75" bottom="0.75" header="0.3" footer="0.3"/>
  <pageSetup paperSize="9" scale="27" orientation="portrait" r:id="rId31"/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zoomScale="70" zoomScaleNormal="7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B9" sqref="B9"/>
    </sheetView>
  </sheetViews>
  <sheetFormatPr defaultRowHeight="16.5"/>
  <cols>
    <col min="1" max="1" width="10.25" customWidth="1"/>
    <col min="2" max="2" width="39.375" style="139" customWidth="1"/>
    <col min="3" max="3" width="23.625" customWidth="1"/>
    <col min="4" max="4" width="27.875" style="89" customWidth="1"/>
    <col min="5" max="5" width="29.75" style="89" customWidth="1"/>
    <col min="6" max="6" width="23.625" style="89" customWidth="1"/>
    <col min="7" max="9" width="28.625" style="89" customWidth="1"/>
    <col min="10" max="10" width="28.625" style="142" customWidth="1"/>
    <col min="11" max="11" width="36.5" style="121" customWidth="1"/>
  </cols>
  <sheetData>
    <row r="1" spans="1:11">
      <c r="A1" s="159" t="s">
        <v>57</v>
      </c>
      <c r="B1" s="155" t="s">
        <v>605</v>
      </c>
      <c r="C1" s="161" t="s">
        <v>306</v>
      </c>
      <c r="D1" s="162"/>
      <c r="E1" s="162"/>
      <c r="F1" s="162"/>
      <c r="G1" s="162"/>
      <c r="H1" s="162"/>
      <c r="I1" s="162"/>
      <c r="J1" s="163"/>
      <c r="K1" s="157" t="s">
        <v>28</v>
      </c>
    </row>
    <row r="2" spans="1:11">
      <c r="A2" s="160"/>
      <c r="B2" s="156"/>
      <c r="C2" s="85" t="s">
        <v>418</v>
      </c>
      <c r="D2" s="85" t="s">
        <v>103</v>
      </c>
      <c r="E2" s="85" t="s">
        <v>308</v>
      </c>
      <c r="F2" s="85" t="s">
        <v>450</v>
      </c>
      <c r="G2" s="85" t="s">
        <v>476</v>
      </c>
      <c r="H2" s="85" t="s">
        <v>573</v>
      </c>
      <c r="I2" s="85" t="s">
        <v>644</v>
      </c>
      <c r="J2" s="140" t="s">
        <v>666</v>
      </c>
      <c r="K2" s="158"/>
    </row>
    <row r="3" spans="1:11" s="66" customFormat="1" ht="138" customHeight="1">
      <c r="A3" s="146" t="s">
        <v>69</v>
      </c>
      <c r="B3" s="144" t="s">
        <v>671</v>
      </c>
      <c r="C3" s="98">
        <v>0.15</v>
      </c>
      <c r="D3" s="152" t="s">
        <v>607</v>
      </c>
      <c r="E3" s="152" t="s">
        <v>608</v>
      </c>
      <c r="F3" s="86" t="s">
        <v>451</v>
      </c>
      <c r="G3" s="96" t="s">
        <v>465</v>
      </c>
      <c r="H3" s="96">
        <v>0.15</v>
      </c>
      <c r="I3" s="96" t="s">
        <v>669</v>
      </c>
      <c r="J3" s="141" t="s">
        <v>645</v>
      </c>
      <c r="K3" s="147" t="s">
        <v>575</v>
      </c>
    </row>
    <row r="4" spans="1:11" s="65" customFormat="1" ht="24">
      <c r="A4" s="150"/>
      <c r="B4" s="136" t="s">
        <v>606</v>
      </c>
      <c r="C4" s="119" t="s">
        <v>486</v>
      </c>
      <c r="D4" s="153"/>
      <c r="E4" s="153"/>
      <c r="F4" s="87" t="s">
        <v>452</v>
      </c>
      <c r="G4" s="87" t="s">
        <v>452</v>
      </c>
      <c r="H4" s="87" t="s">
        <v>574</v>
      </c>
      <c r="I4" s="204" t="s">
        <v>643</v>
      </c>
      <c r="J4" s="206" t="s">
        <v>667</v>
      </c>
      <c r="K4" s="147"/>
    </row>
    <row r="5" spans="1:11" s="67" customFormat="1" ht="51.75">
      <c r="A5" s="145" t="s">
        <v>37</v>
      </c>
      <c r="B5" s="135">
        <v>0.125</v>
      </c>
      <c r="C5" s="68">
        <v>0.25</v>
      </c>
      <c r="D5" s="153"/>
      <c r="E5" s="153"/>
      <c r="F5" s="86" t="s">
        <v>451</v>
      </c>
      <c r="G5" s="96" t="s">
        <v>465</v>
      </c>
      <c r="H5" s="96">
        <v>1</v>
      </c>
      <c r="I5" s="96">
        <v>0.15</v>
      </c>
      <c r="J5" s="141" t="s">
        <v>670</v>
      </c>
      <c r="K5" s="148"/>
    </row>
    <row r="6" spans="1:11" s="65" customFormat="1" ht="16.5" customHeight="1">
      <c r="A6" s="146"/>
      <c r="B6" s="136" t="s">
        <v>606</v>
      </c>
      <c r="C6" s="69" t="s">
        <v>420</v>
      </c>
      <c r="D6" s="153"/>
      <c r="E6" s="153"/>
      <c r="F6" s="87" t="s">
        <v>452</v>
      </c>
      <c r="G6" s="87" t="s">
        <v>464</v>
      </c>
      <c r="H6" s="87" t="s">
        <v>574</v>
      </c>
      <c r="I6" s="204" t="s">
        <v>643</v>
      </c>
      <c r="J6" s="206" t="s">
        <v>667</v>
      </c>
      <c r="K6" s="148"/>
    </row>
    <row r="7" spans="1:11" s="66" customFormat="1" ht="34.5">
      <c r="A7" s="145" t="s">
        <v>226</v>
      </c>
      <c r="B7" s="144" t="s">
        <v>671</v>
      </c>
      <c r="C7" s="68">
        <v>0.15</v>
      </c>
      <c r="D7" s="153"/>
      <c r="E7" s="153"/>
      <c r="F7" s="86" t="s">
        <v>453</v>
      </c>
      <c r="G7" s="96" t="s">
        <v>465</v>
      </c>
      <c r="H7" s="96">
        <v>0.15</v>
      </c>
      <c r="I7" s="96" t="s">
        <v>669</v>
      </c>
      <c r="J7" s="141" t="s">
        <v>645</v>
      </c>
      <c r="K7" s="148"/>
    </row>
    <row r="8" spans="1:11" s="65" customFormat="1" ht="16.5" customHeight="1">
      <c r="A8" s="146"/>
      <c r="B8" s="136" t="s">
        <v>606</v>
      </c>
      <c r="C8" s="79" t="s">
        <v>444</v>
      </c>
      <c r="D8" s="153"/>
      <c r="E8" s="153"/>
      <c r="F8" s="87" t="s">
        <v>452</v>
      </c>
      <c r="G8" s="90" t="s">
        <v>464</v>
      </c>
      <c r="H8" s="87" t="s">
        <v>574</v>
      </c>
      <c r="I8" s="204" t="s">
        <v>643</v>
      </c>
      <c r="J8" s="206" t="s">
        <v>667</v>
      </c>
      <c r="K8" s="148"/>
    </row>
    <row r="9" spans="1:11" s="66" customFormat="1" ht="51.75">
      <c r="A9" s="145" t="s">
        <v>70</v>
      </c>
      <c r="B9" s="135">
        <v>0.125</v>
      </c>
      <c r="C9" s="68">
        <v>0.25</v>
      </c>
      <c r="D9" s="153"/>
      <c r="E9" s="153"/>
      <c r="F9" s="86" t="s">
        <v>451</v>
      </c>
      <c r="G9" s="96" t="s">
        <v>465</v>
      </c>
      <c r="H9" s="96">
        <v>1</v>
      </c>
      <c r="I9" s="96">
        <v>0.15</v>
      </c>
      <c r="J9" s="141" t="s">
        <v>670</v>
      </c>
      <c r="K9" s="148"/>
    </row>
    <row r="10" spans="1:11" s="65" customFormat="1" ht="15" customHeight="1">
      <c r="A10" s="146"/>
      <c r="B10" s="136" t="s">
        <v>606</v>
      </c>
      <c r="C10" s="80" t="s">
        <v>420</v>
      </c>
      <c r="D10" s="153"/>
      <c r="E10" s="153"/>
      <c r="F10" s="87" t="s">
        <v>452</v>
      </c>
      <c r="G10" s="87" t="s">
        <v>464</v>
      </c>
      <c r="H10" s="87" t="s">
        <v>574</v>
      </c>
      <c r="I10" s="204" t="s">
        <v>643</v>
      </c>
      <c r="J10" s="206" t="s">
        <v>667</v>
      </c>
      <c r="K10" s="148"/>
    </row>
    <row r="11" spans="1:11" s="66" customFormat="1" ht="51.75">
      <c r="A11" s="145" t="s">
        <v>72</v>
      </c>
      <c r="B11" s="137">
        <v>0.1</v>
      </c>
      <c r="C11" s="68">
        <v>0.25</v>
      </c>
      <c r="D11" s="153"/>
      <c r="E11" s="153"/>
      <c r="F11" s="86" t="s">
        <v>451</v>
      </c>
      <c r="G11" s="96" t="s">
        <v>465</v>
      </c>
      <c r="H11" s="96">
        <v>1</v>
      </c>
      <c r="I11" s="96">
        <v>0.15</v>
      </c>
      <c r="J11" s="141" t="s">
        <v>670</v>
      </c>
      <c r="K11" s="148"/>
    </row>
    <row r="12" spans="1:11" s="65" customFormat="1" ht="16.5" customHeight="1">
      <c r="A12" s="146"/>
      <c r="B12" s="136" t="s">
        <v>606</v>
      </c>
      <c r="C12" s="69" t="s">
        <v>420</v>
      </c>
      <c r="D12" s="153"/>
      <c r="E12" s="153"/>
      <c r="F12" s="87" t="s">
        <v>452</v>
      </c>
      <c r="G12" s="90" t="s">
        <v>464</v>
      </c>
      <c r="H12" s="87" t="s">
        <v>574</v>
      </c>
      <c r="I12" s="204" t="s">
        <v>643</v>
      </c>
      <c r="J12" s="206" t="s">
        <v>667</v>
      </c>
      <c r="K12" s="148"/>
    </row>
    <row r="13" spans="1:11" s="66" customFormat="1" ht="51.75">
      <c r="A13" s="145" t="s">
        <v>240</v>
      </c>
      <c r="B13" s="137">
        <v>0.1</v>
      </c>
      <c r="C13" s="70">
        <v>0.25</v>
      </c>
      <c r="D13" s="153"/>
      <c r="E13" s="153"/>
      <c r="F13" s="86" t="s">
        <v>451</v>
      </c>
      <c r="G13" s="97" t="s">
        <v>477</v>
      </c>
      <c r="H13" s="96">
        <v>1</v>
      </c>
      <c r="I13" s="96">
        <v>0.15</v>
      </c>
      <c r="J13" s="141" t="s">
        <v>670</v>
      </c>
      <c r="K13" s="148"/>
    </row>
    <row r="14" spans="1:11" s="65" customFormat="1" ht="16.5" customHeight="1">
      <c r="A14" s="146"/>
      <c r="B14" s="136" t="s">
        <v>606</v>
      </c>
      <c r="C14" s="71" t="s">
        <v>421</v>
      </c>
      <c r="D14" s="153"/>
      <c r="E14" s="153"/>
      <c r="F14" s="87" t="s">
        <v>452</v>
      </c>
      <c r="G14" s="90" t="s">
        <v>464</v>
      </c>
      <c r="H14" s="87" t="s">
        <v>574</v>
      </c>
      <c r="I14" s="204" t="s">
        <v>643</v>
      </c>
      <c r="J14" s="206" t="s">
        <v>667</v>
      </c>
      <c r="K14" s="148"/>
    </row>
    <row r="15" spans="1:11" s="66" customFormat="1" ht="51.75">
      <c r="A15" s="145" t="s">
        <v>267</v>
      </c>
      <c r="B15" s="137">
        <v>0.1</v>
      </c>
      <c r="C15" s="70">
        <v>0.25</v>
      </c>
      <c r="D15" s="153"/>
      <c r="E15" s="153"/>
      <c r="F15" s="86" t="s">
        <v>451</v>
      </c>
      <c r="G15" s="96" t="s">
        <v>477</v>
      </c>
      <c r="H15" s="96">
        <v>1</v>
      </c>
      <c r="I15" s="96">
        <v>0.15</v>
      </c>
      <c r="J15" s="141" t="s">
        <v>670</v>
      </c>
      <c r="K15" s="148"/>
    </row>
    <row r="16" spans="1:11" s="65" customFormat="1" ht="16.5" customHeight="1">
      <c r="A16" s="146"/>
      <c r="B16" s="136" t="s">
        <v>606</v>
      </c>
      <c r="C16" s="71" t="s">
        <v>421</v>
      </c>
      <c r="D16" s="153"/>
      <c r="E16" s="153"/>
      <c r="F16" s="87" t="s">
        <v>452</v>
      </c>
      <c r="G16" s="87" t="s">
        <v>464</v>
      </c>
      <c r="H16" s="87" t="s">
        <v>574</v>
      </c>
      <c r="I16" s="204" t="s">
        <v>643</v>
      </c>
      <c r="J16" s="206" t="s">
        <v>667</v>
      </c>
      <c r="K16" s="148"/>
    </row>
    <row r="17" spans="1:11" s="66" customFormat="1" ht="34.5">
      <c r="A17" s="145" t="s">
        <v>248</v>
      </c>
      <c r="B17" s="143" t="s">
        <v>672</v>
      </c>
      <c r="C17" s="81">
        <v>0.15</v>
      </c>
      <c r="D17" s="153"/>
      <c r="E17" s="153"/>
      <c r="F17" s="86" t="s">
        <v>453</v>
      </c>
      <c r="G17" s="96" t="s">
        <v>465</v>
      </c>
      <c r="H17" s="96">
        <v>0.15</v>
      </c>
      <c r="I17" s="96" t="s">
        <v>669</v>
      </c>
      <c r="J17" s="141" t="s">
        <v>645</v>
      </c>
      <c r="K17" s="148"/>
    </row>
    <row r="18" spans="1:11" ht="36">
      <c r="A18" s="146"/>
      <c r="B18" s="136" t="s">
        <v>606</v>
      </c>
      <c r="C18" s="79" t="s">
        <v>445</v>
      </c>
      <c r="D18" s="153"/>
      <c r="E18" s="153"/>
      <c r="F18" s="87" t="s">
        <v>452</v>
      </c>
      <c r="G18" s="90" t="s">
        <v>464</v>
      </c>
      <c r="H18" s="87" t="s">
        <v>574</v>
      </c>
      <c r="I18" s="204" t="s">
        <v>643</v>
      </c>
      <c r="J18" s="206" t="s">
        <v>667</v>
      </c>
      <c r="K18" s="148"/>
    </row>
    <row r="19" spans="1:11" s="66" customFormat="1" ht="51.75">
      <c r="A19" s="145" t="s">
        <v>87</v>
      </c>
      <c r="B19" s="135">
        <v>0.125</v>
      </c>
      <c r="C19" s="82">
        <v>0.25</v>
      </c>
      <c r="D19" s="153"/>
      <c r="E19" s="153"/>
      <c r="F19" s="86" t="s">
        <v>451</v>
      </c>
      <c r="G19" s="96" t="s">
        <v>465</v>
      </c>
      <c r="H19" s="96">
        <v>1</v>
      </c>
      <c r="I19" s="96">
        <v>0.15</v>
      </c>
      <c r="J19" s="141" t="s">
        <v>670</v>
      </c>
      <c r="K19" s="148"/>
    </row>
    <row r="20" spans="1:11">
      <c r="A20" s="146"/>
      <c r="B20" s="136" t="s">
        <v>606</v>
      </c>
      <c r="C20" s="69" t="s">
        <v>420</v>
      </c>
      <c r="D20" s="153"/>
      <c r="E20" s="153"/>
      <c r="F20" s="87" t="s">
        <v>452</v>
      </c>
      <c r="G20" s="87" t="s">
        <v>464</v>
      </c>
      <c r="H20" s="87" t="s">
        <v>574</v>
      </c>
      <c r="I20" s="204" t="s">
        <v>643</v>
      </c>
      <c r="J20" s="206" t="s">
        <v>667</v>
      </c>
      <c r="K20" s="148"/>
    </row>
    <row r="21" spans="1:11" s="66" customFormat="1" ht="34.5">
      <c r="A21" s="145" t="s">
        <v>78</v>
      </c>
      <c r="B21" s="137">
        <v>0.1</v>
      </c>
      <c r="C21" s="81">
        <v>0.1</v>
      </c>
      <c r="D21" s="153"/>
      <c r="E21" s="153"/>
      <c r="F21" s="86" t="s">
        <v>454</v>
      </c>
      <c r="G21" s="96" t="s">
        <v>465</v>
      </c>
      <c r="H21" s="96">
        <v>0.1</v>
      </c>
      <c r="I21" s="96">
        <v>0.1</v>
      </c>
      <c r="J21" s="141" t="s">
        <v>668</v>
      </c>
      <c r="K21" s="148"/>
    </row>
    <row r="22" spans="1:11">
      <c r="A22" s="146"/>
      <c r="B22" s="136" t="s">
        <v>606</v>
      </c>
      <c r="C22" s="71" t="s">
        <v>422</v>
      </c>
      <c r="D22" s="153"/>
      <c r="E22" s="153"/>
      <c r="F22" s="87" t="s">
        <v>452</v>
      </c>
      <c r="G22" s="87" t="s">
        <v>464</v>
      </c>
      <c r="H22" s="87" t="s">
        <v>574</v>
      </c>
      <c r="I22" s="204" t="s">
        <v>643</v>
      </c>
      <c r="J22" s="206" t="s">
        <v>667</v>
      </c>
      <c r="K22" s="148"/>
    </row>
    <row r="23" spans="1:11" s="66" customFormat="1" ht="51.75">
      <c r="A23" s="145" t="s">
        <v>96</v>
      </c>
      <c r="B23" s="137">
        <v>0.1</v>
      </c>
      <c r="C23" s="68">
        <v>0.25</v>
      </c>
      <c r="D23" s="153"/>
      <c r="E23" s="153"/>
      <c r="F23" s="86" t="s">
        <v>451</v>
      </c>
      <c r="G23" s="96" t="s">
        <v>465</v>
      </c>
      <c r="H23" s="96">
        <v>1</v>
      </c>
      <c r="I23" s="96">
        <v>0.15</v>
      </c>
      <c r="J23" s="141" t="s">
        <v>670</v>
      </c>
      <c r="K23" s="148"/>
    </row>
    <row r="24" spans="1:11" s="65" customFormat="1" ht="17.25" customHeight="1" thickBot="1">
      <c r="A24" s="151"/>
      <c r="B24" s="138" t="s">
        <v>606</v>
      </c>
      <c r="C24" s="83" t="s">
        <v>420</v>
      </c>
      <c r="D24" s="154"/>
      <c r="E24" s="154"/>
      <c r="F24" s="88" t="s">
        <v>452</v>
      </c>
      <c r="G24" s="130" t="s">
        <v>464</v>
      </c>
      <c r="H24" s="130" t="s">
        <v>574</v>
      </c>
      <c r="I24" s="205" t="s">
        <v>643</v>
      </c>
      <c r="J24" s="207" t="s">
        <v>667</v>
      </c>
      <c r="K24" s="149"/>
    </row>
  </sheetData>
  <mergeCells count="18">
    <mergeCell ref="B1:B2"/>
    <mergeCell ref="K1:K2"/>
    <mergeCell ref="A1:A2"/>
    <mergeCell ref="A19:A20"/>
    <mergeCell ref="C1:J1"/>
    <mergeCell ref="A21:A22"/>
    <mergeCell ref="K3:K24"/>
    <mergeCell ref="A3:A4"/>
    <mergeCell ref="A5:A6"/>
    <mergeCell ref="A7:A8"/>
    <mergeCell ref="A9:A10"/>
    <mergeCell ref="A11:A12"/>
    <mergeCell ref="A13:A14"/>
    <mergeCell ref="A15:A16"/>
    <mergeCell ref="A23:A24"/>
    <mergeCell ref="A17:A18"/>
    <mergeCell ref="D3:D24"/>
    <mergeCell ref="E3:E2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selection activeCell="C10" sqref="C10"/>
    </sheetView>
  </sheetViews>
  <sheetFormatPr defaultRowHeight="16.5"/>
  <cols>
    <col min="1" max="1" width="3.125" style="2" customWidth="1"/>
    <col min="2" max="2" width="18.625" bestFit="1" customWidth="1"/>
    <col min="3" max="3" width="11.875" customWidth="1"/>
    <col min="4" max="4" width="18.5" bestFit="1" customWidth="1"/>
    <col min="5" max="5" width="32" bestFit="1" customWidth="1"/>
    <col min="6" max="6" width="18.5" bestFit="1" customWidth="1"/>
    <col min="7" max="7" width="17.125" bestFit="1" customWidth="1"/>
  </cols>
  <sheetData>
    <row r="1" spans="2:9" s="2" customFormat="1"/>
    <row r="2" spans="2:9" s="2" customFormat="1">
      <c r="B2" s="191" t="s">
        <v>650</v>
      </c>
      <c r="C2" s="192"/>
      <c r="D2" s="193" t="s">
        <v>660</v>
      </c>
      <c r="E2" s="193" t="s">
        <v>659</v>
      </c>
      <c r="F2" s="193" t="s">
        <v>78</v>
      </c>
      <c r="G2" s="193" t="s">
        <v>661</v>
      </c>
    </row>
    <row r="3" spans="2:9" s="2" customFormat="1">
      <c r="B3" s="195" t="s">
        <v>653</v>
      </c>
      <c r="C3" s="196"/>
      <c r="D3" s="199" t="s">
        <v>657</v>
      </c>
      <c r="E3" s="197" t="s">
        <v>664</v>
      </c>
      <c r="F3" s="197" t="s">
        <v>663</v>
      </c>
      <c r="G3" s="198">
        <v>46268</v>
      </c>
    </row>
    <row r="4" spans="2:9" s="2" customFormat="1">
      <c r="B4" s="195" t="s">
        <v>651</v>
      </c>
      <c r="C4" s="196"/>
      <c r="D4" s="200"/>
      <c r="E4" s="194"/>
      <c r="F4" s="194"/>
      <c r="G4" s="198">
        <v>46268</v>
      </c>
    </row>
    <row r="5" spans="2:9" s="2" customFormat="1">
      <c r="B5" s="195" t="s">
        <v>652</v>
      </c>
      <c r="C5" s="196"/>
      <c r="D5" s="200"/>
      <c r="E5" s="194"/>
      <c r="F5" s="194"/>
      <c r="G5" s="198">
        <v>46268</v>
      </c>
    </row>
    <row r="6" spans="2:9" s="2" customFormat="1">
      <c r="B6" s="195" t="s">
        <v>655</v>
      </c>
      <c r="C6" s="196"/>
      <c r="D6" s="201"/>
      <c r="E6" s="194"/>
      <c r="F6" s="194"/>
      <c r="G6" s="198">
        <v>46268</v>
      </c>
    </row>
    <row r="7" spans="2:9" s="2" customFormat="1">
      <c r="B7" s="195" t="s">
        <v>654</v>
      </c>
      <c r="C7" s="196"/>
      <c r="D7" s="202" t="s">
        <v>658</v>
      </c>
      <c r="E7" s="194"/>
      <c r="F7" s="194"/>
      <c r="G7" s="198">
        <v>46268</v>
      </c>
    </row>
    <row r="8" spans="2:9" s="2" customFormat="1">
      <c r="B8" s="195" t="s">
        <v>656</v>
      </c>
      <c r="C8" s="196"/>
      <c r="D8" s="203"/>
      <c r="E8" s="194"/>
      <c r="F8" s="194"/>
      <c r="G8" s="198">
        <v>46427</v>
      </c>
    </row>
    <row r="9" spans="2:9" s="2" customFormat="1"/>
    <row r="10" spans="2:9" s="2" customFormat="1"/>
    <row r="11" spans="2:9" s="2" customFormat="1"/>
    <row r="12" spans="2:9" s="2" customFormat="1"/>
    <row r="13" spans="2:9">
      <c r="B13" s="15" t="s">
        <v>22</v>
      </c>
      <c r="C13" s="15" t="s">
        <v>623</v>
      </c>
      <c r="D13" s="15" t="s">
        <v>615</v>
      </c>
      <c r="E13" s="15" t="s">
        <v>616</v>
      </c>
      <c r="F13" s="15" t="s">
        <v>617</v>
      </c>
      <c r="G13" s="2"/>
      <c r="H13" s="2"/>
      <c r="I13" s="2"/>
    </row>
    <row r="14" spans="2:9">
      <c r="B14" s="131" t="s">
        <v>618</v>
      </c>
      <c r="C14" s="132" t="s">
        <v>624</v>
      </c>
      <c r="D14" s="167" t="s">
        <v>640</v>
      </c>
      <c r="E14" s="168"/>
      <c r="F14" s="169"/>
      <c r="G14" s="2"/>
      <c r="H14" s="2"/>
      <c r="I14" s="2"/>
    </row>
    <row r="15" spans="2:9">
      <c r="B15" s="131" t="s">
        <v>619</v>
      </c>
      <c r="C15" s="132" t="s">
        <v>625</v>
      </c>
      <c r="D15" s="170" t="s">
        <v>621</v>
      </c>
      <c r="E15" s="170" t="s">
        <v>620</v>
      </c>
      <c r="F15" s="170" t="s">
        <v>622</v>
      </c>
      <c r="G15" s="2"/>
      <c r="H15" s="2"/>
      <c r="I15" s="2"/>
    </row>
    <row r="16" spans="2:9">
      <c r="B16" s="131" t="s">
        <v>628</v>
      </c>
      <c r="C16" s="132" t="s">
        <v>626</v>
      </c>
      <c r="D16" s="171"/>
      <c r="E16" s="171"/>
      <c r="F16" s="171"/>
      <c r="G16" s="2"/>
      <c r="H16" s="2"/>
      <c r="I16" s="2"/>
    </row>
    <row r="17" spans="2:9">
      <c r="B17" s="131" t="s">
        <v>629</v>
      </c>
      <c r="C17" s="132" t="s">
        <v>627</v>
      </c>
      <c r="D17" s="172"/>
      <c r="E17" s="172"/>
      <c r="F17" s="172"/>
      <c r="G17" s="2"/>
      <c r="H17" s="2"/>
      <c r="I17" s="2"/>
    </row>
    <row r="18" spans="2:9" s="2" customFormat="1"/>
    <row r="19" spans="2:9" s="2" customFormat="1">
      <c r="B19" s="134" t="s">
        <v>636</v>
      </c>
    </row>
    <row r="20" spans="2:9">
      <c r="B20" s="133" t="s">
        <v>630</v>
      </c>
      <c r="C20" s="176" t="s">
        <v>631</v>
      </c>
      <c r="D20" s="177"/>
      <c r="E20" s="178"/>
      <c r="F20" s="175" t="s">
        <v>635</v>
      </c>
      <c r="G20" s="175"/>
      <c r="H20" s="175"/>
      <c r="I20" s="2"/>
    </row>
    <row r="21" spans="2:9">
      <c r="B21" s="131" t="s">
        <v>633</v>
      </c>
      <c r="C21" s="173" t="s">
        <v>637</v>
      </c>
      <c r="D21" s="173"/>
      <c r="E21" s="173"/>
      <c r="F21" s="174" t="s">
        <v>646</v>
      </c>
      <c r="G21" s="174"/>
      <c r="H21" s="174"/>
      <c r="I21" s="2"/>
    </row>
    <row r="22" spans="2:9" ht="16.899999999999999" customHeight="1">
      <c r="B22" s="131" t="s">
        <v>632</v>
      </c>
      <c r="C22" s="173" t="s">
        <v>639</v>
      </c>
      <c r="D22" s="173"/>
      <c r="E22" s="173"/>
      <c r="F22" s="174" t="s">
        <v>647</v>
      </c>
      <c r="G22" s="174"/>
      <c r="H22" s="174"/>
      <c r="I22" s="2"/>
    </row>
    <row r="23" spans="2:9" ht="16.899999999999999" customHeight="1">
      <c r="B23" s="131" t="s">
        <v>634</v>
      </c>
      <c r="C23" s="173" t="s">
        <v>641</v>
      </c>
      <c r="D23" s="173"/>
      <c r="E23" s="173"/>
      <c r="F23" s="174" t="s">
        <v>648</v>
      </c>
      <c r="G23" s="174"/>
      <c r="H23" s="174"/>
      <c r="I23" s="2"/>
    </row>
    <row r="24" spans="2:9" s="2" customFormat="1"/>
    <row r="25" spans="2:9" s="2" customFormat="1"/>
    <row r="26" spans="2:9" s="2" customFormat="1"/>
    <row r="27" spans="2:9" s="2" customFormat="1"/>
    <row r="28" spans="2:9" s="2" customFormat="1"/>
    <row r="29" spans="2:9" s="2" customFormat="1"/>
    <row r="30" spans="2:9" s="2" customFormat="1"/>
    <row r="31" spans="2:9" s="2" customFormat="1"/>
    <row r="32" spans="2:9" s="2" customFormat="1"/>
    <row r="33" s="2" customFormat="1"/>
    <row r="34" s="2" customFormat="1"/>
    <row r="35" s="2" customFormat="1"/>
    <row r="36" s="2" customFormat="1"/>
    <row r="37" s="2" customFormat="1"/>
    <row r="38" s="2" customFormat="1"/>
    <row r="39" s="2" customFormat="1"/>
    <row r="40" s="2" customFormat="1"/>
    <row r="41" s="2" customFormat="1"/>
    <row r="42" s="2" customFormat="1"/>
    <row r="43" s="2" customFormat="1"/>
    <row r="44" s="2" customFormat="1"/>
    <row r="45" s="2" customFormat="1"/>
    <row r="46" s="2" customFormat="1"/>
    <row r="47" s="2" customFormat="1"/>
    <row r="48" s="2" customFormat="1"/>
    <row r="49" s="2" customFormat="1"/>
    <row r="50" s="2" customFormat="1"/>
    <row r="51" s="2" customFormat="1"/>
  </sheetData>
  <mergeCells count="23">
    <mergeCell ref="D3:D6"/>
    <mergeCell ref="E3:E8"/>
    <mergeCell ref="F3:F8"/>
    <mergeCell ref="D7:D8"/>
    <mergeCell ref="B2:C2"/>
    <mergeCell ref="B3:C3"/>
    <mergeCell ref="B4:C4"/>
    <mergeCell ref="B5:C5"/>
    <mergeCell ref="B6:C6"/>
    <mergeCell ref="B7:C7"/>
    <mergeCell ref="B8:C8"/>
    <mergeCell ref="D14:F14"/>
    <mergeCell ref="D15:D17"/>
    <mergeCell ref="E15:E17"/>
    <mergeCell ref="F15:F17"/>
    <mergeCell ref="C23:E23"/>
    <mergeCell ref="F21:H21"/>
    <mergeCell ref="F22:H22"/>
    <mergeCell ref="F23:H23"/>
    <mergeCell ref="F20:H20"/>
    <mergeCell ref="C20:E20"/>
    <mergeCell ref="C21:E21"/>
    <mergeCell ref="C22:E22"/>
  </mergeCells>
  <phoneticPr fontId="1" type="noConversion"/>
  <pageMargins left="0.7" right="0.7" top="0.75" bottom="0.75" header="0.3" footer="0.3"/>
  <pageSetup orientation="portrait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workbookViewId="0">
      <pane xSplit="1" ySplit="2" topLeftCell="B33" activePane="bottomRight" state="frozen"/>
      <selection pane="topRight" activeCell="B1" sqref="B1"/>
      <selection pane="bottomLeft" activeCell="A3" sqref="A3"/>
      <selection pane="bottomRight" activeCell="F47" sqref="F47"/>
    </sheetView>
  </sheetViews>
  <sheetFormatPr defaultColWidth="9" defaultRowHeight="13.5"/>
  <cols>
    <col min="1" max="1" width="31.25" style="56" customWidth="1"/>
    <col min="2" max="2" width="26.25" style="56" customWidth="1"/>
    <col min="3" max="4" width="13.75" style="64" customWidth="1"/>
    <col min="5" max="5" width="15.25" style="64" customWidth="1"/>
    <col min="6" max="6" width="13.75" style="64" customWidth="1"/>
    <col min="7" max="16384" width="9" style="56"/>
  </cols>
  <sheetData>
    <row r="1" spans="1:6" ht="13.5" customHeight="1">
      <c r="A1" s="164" t="s">
        <v>409</v>
      </c>
      <c r="B1" s="164" t="s">
        <v>409</v>
      </c>
      <c r="C1" s="164" t="s">
        <v>410</v>
      </c>
      <c r="D1" s="166" t="s">
        <v>306</v>
      </c>
      <c r="E1" s="166"/>
      <c r="F1" s="166"/>
    </row>
    <row r="2" spans="1:6" ht="13.5" customHeight="1">
      <c r="A2" s="165"/>
      <c r="B2" s="165"/>
      <c r="C2" s="165"/>
      <c r="D2" s="57" t="s">
        <v>103</v>
      </c>
      <c r="E2" s="57" t="s">
        <v>307</v>
      </c>
      <c r="F2" s="57" t="s">
        <v>308</v>
      </c>
    </row>
    <row r="3" spans="1:6">
      <c r="A3" s="58" t="s">
        <v>309</v>
      </c>
      <c r="B3" s="58" t="s">
        <v>340</v>
      </c>
      <c r="C3" s="59">
        <v>0.15</v>
      </c>
      <c r="D3" s="60">
        <v>0.5</v>
      </c>
      <c r="E3" s="60">
        <v>0.25</v>
      </c>
      <c r="F3" s="60">
        <v>0.5</v>
      </c>
    </row>
    <row r="4" spans="1:6">
      <c r="A4" s="58" t="s">
        <v>310</v>
      </c>
      <c r="B4" s="58" t="s">
        <v>341</v>
      </c>
      <c r="C4" s="59">
        <v>0.3</v>
      </c>
      <c r="D4" s="60">
        <v>0.5</v>
      </c>
      <c r="E4" s="60">
        <v>0.25</v>
      </c>
      <c r="F4" s="60">
        <v>0.5</v>
      </c>
    </row>
    <row r="5" spans="1:6">
      <c r="A5" s="58" t="s">
        <v>142</v>
      </c>
      <c r="B5" s="58" t="s">
        <v>342</v>
      </c>
      <c r="C5" s="59">
        <v>0.15</v>
      </c>
      <c r="D5" s="60">
        <v>0.5</v>
      </c>
      <c r="E5" s="60">
        <v>0.25</v>
      </c>
      <c r="F5" s="60">
        <v>0.5</v>
      </c>
    </row>
    <row r="6" spans="1:6">
      <c r="A6" s="58" t="s">
        <v>143</v>
      </c>
      <c r="B6" s="58" t="s">
        <v>343</v>
      </c>
      <c r="C6" s="59">
        <v>0.2</v>
      </c>
      <c r="D6" s="60">
        <v>0.5</v>
      </c>
      <c r="E6" s="60">
        <v>0.25</v>
      </c>
      <c r="F6" s="60">
        <v>0.5</v>
      </c>
    </row>
    <row r="7" spans="1:6">
      <c r="A7" s="58" t="s">
        <v>311</v>
      </c>
      <c r="B7" s="58" t="s">
        <v>344</v>
      </c>
      <c r="C7" s="59">
        <v>0.15</v>
      </c>
      <c r="D7" s="60">
        <v>0.5</v>
      </c>
      <c r="E7" s="60">
        <v>0.25</v>
      </c>
      <c r="F7" s="60">
        <v>0.5</v>
      </c>
    </row>
    <row r="8" spans="1:6">
      <c r="A8" s="58" t="s">
        <v>312</v>
      </c>
      <c r="B8" s="58" t="s">
        <v>345</v>
      </c>
      <c r="C8" s="59">
        <v>0.3</v>
      </c>
      <c r="D8" s="60">
        <v>0.5</v>
      </c>
      <c r="E8" s="60">
        <v>0.25</v>
      </c>
      <c r="F8" s="60">
        <v>0.5</v>
      </c>
    </row>
    <row r="9" spans="1:6">
      <c r="A9" s="58" t="s">
        <v>144</v>
      </c>
      <c r="B9" s="58" t="s">
        <v>346</v>
      </c>
      <c r="C9" s="59">
        <v>0.15</v>
      </c>
      <c r="D9" s="60">
        <v>0.5</v>
      </c>
      <c r="E9" s="60">
        <v>0.25</v>
      </c>
      <c r="F9" s="60">
        <v>0.5</v>
      </c>
    </row>
    <row r="10" spans="1:6">
      <c r="A10" s="58" t="s">
        <v>313</v>
      </c>
      <c r="B10" s="58" t="s">
        <v>347</v>
      </c>
      <c r="C10" s="59">
        <v>0.5</v>
      </c>
      <c r="D10" s="60">
        <v>0.5</v>
      </c>
      <c r="E10" s="60">
        <v>0.25</v>
      </c>
      <c r="F10" s="60">
        <v>0.5</v>
      </c>
    </row>
    <row r="11" spans="1:6">
      <c r="A11" s="58" t="s">
        <v>314</v>
      </c>
      <c r="B11" s="58" t="s">
        <v>348</v>
      </c>
      <c r="C11" s="59">
        <v>0.25</v>
      </c>
      <c r="D11" s="60">
        <v>0.5</v>
      </c>
      <c r="E11" s="60">
        <v>0.25</v>
      </c>
      <c r="F11" s="60">
        <v>0.5</v>
      </c>
    </row>
    <row r="12" spans="1:6">
      <c r="A12" s="58" t="s">
        <v>145</v>
      </c>
      <c r="B12" s="58" t="s">
        <v>349</v>
      </c>
      <c r="C12" s="59">
        <v>0.19</v>
      </c>
      <c r="D12" s="60">
        <v>0.5</v>
      </c>
      <c r="E12" s="60">
        <v>0.25</v>
      </c>
      <c r="F12" s="60">
        <v>0.5</v>
      </c>
    </row>
    <row r="13" spans="1:6">
      <c r="A13" s="58" t="s">
        <v>146</v>
      </c>
      <c r="B13" s="58" t="s">
        <v>350</v>
      </c>
      <c r="C13" s="59">
        <v>0.15</v>
      </c>
      <c r="D13" s="60">
        <v>0.5</v>
      </c>
      <c r="E13" s="60">
        <v>0.25</v>
      </c>
      <c r="F13" s="60">
        <v>0.5</v>
      </c>
    </row>
    <row r="14" spans="1:6">
      <c r="A14" s="58" t="s">
        <v>147</v>
      </c>
      <c r="B14" s="58" t="s">
        <v>351</v>
      </c>
      <c r="C14" s="59">
        <v>0.15</v>
      </c>
      <c r="D14" s="60">
        <v>0.5</v>
      </c>
      <c r="E14" s="60">
        <v>0.25</v>
      </c>
      <c r="F14" s="60">
        <v>0.5</v>
      </c>
    </row>
    <row r="15" spans="1:6">
      <c r="A15" s="58" t="s">
        <v>315</v>
      </c>
      <c r="B15" s="58" t="s">
        <v>352</v>
      </c>
      <c r="C15" s="59">
        <v>0.15</v>
      </c>
      <c r="D15" s="60">
        <v>0.5</v>
      </c>
      <c r="E15" s="60">
        <v>0.25</v>
      </c>
      <c r="F15" s="60">
        <v>0.5</v>
      </c>
    </row>
    <row r="16" spans="1:6">
      <c r="A16" s="58" t="s">
        <v>316</v>
      </c>
      <c r="B16" s="58" t="s">
        <v>353</v>
      </c>
      <c r="C16" s="59">
        <v>0.15</v>
      </c>
      <c r="D16" s="60">
        <v>0.5</v>
      </c>
      <c r="E16" s="60">
        <v>0.25</v>
      </c>
      <c r="F16" s="60">
        <v>0.5</v>
      </c>
    </row>
    <row r="17" spans="1:6">
      <c r="A17" s="58" t="s">
        <v>317</v>
      </c>
      <c r="B17" s="58" t="s">
        <v>354</v>
      </c>
      <c r="C17" s="59">
        <v>0.15</v>
      </c>
      <c r="D17" s="60">
        <v>0.5</v>
      </c>
      <c r="E17" s="60">
        <v>0.25</v>
      </c>
      <c r="F17" s="60">
        <v>0.5</v>
      </c>
    </row>
    <row r="18" spans="1:6">
      <c r="A18" s="58" t="s">
        <v>318</v>
      </c>
      <c r="B18" s="58" t="s">
        <v>355</v>
      </c>
      <c r="C18" s="59">
        <v>0.15</v>
      </c>
      <c r="D18" s="60">
        <v>0.5</v>
      </c>
      <c r="E18" s="60">
        <v>0.25</v>
      </c>
      <c r="F18" s="60">
        <v>0.5</v>
      </c>
    </row>
    <row r="19" spans="1:6">
      <c r="A19" s="58" t="s">
        <v>319</v>
      </c>
      <c r="B19" s="58" t="s">
        <v>356</v>
      </c>
      <c r="C19" s="59">
        <v>0.15</v>
      </c>
      <c r="D19" s="60">
        <v>0.5</v>
      </c>
      <c r="E19" s="60">
        <v>0.25</v>
      </c>
      <c r="F19" s="60">
        <v>0.5</v>
      </c>
    </row>
    <row r="20" spans="1:6">
      <c r="A20" s="58" t="s">
        <v>406</v>
      </c>
      <c r="B20" s="58" t="s">
        <v>407</v>
      </c>
      <c r="C20" s="59">
        <v>0.15</v>
      </c>
      <c r="D20" s="60">
        <v>0.5</v>
      </c>
      <c r="E20" s="61">
        <v>0.15</v>
      </c>
      <c r="F20" s="62">
        <v>0.5</v>
      </c>
    </row>
    <row r="21" spans="1:6">
      <c r="A21" s="58" t="s">
        <v>320</v>
      </c>
      <c r="B21" s="58" t="s">
        <v>357</v>
      </c>
      <c r="C21" s="59">
        <v>0.1</v>
      </c>
      <c r="D21" s="60">
        <v>0.5</v>
      </c>
      <c r="E21" s="60">
        <v>0.25</v>
      </c>
      <c r="F21" s="60">
        <v>0.5</v>
      </c>
    </row>
    <row r="22" spans="1:6">
      <c r="A22" s="58" t="s">
        <v>149</v>
      </c>
      <c r="B22" s="58" t="s">
        <v>358</v>
      </c>
      <c r="C22" s="59">
        <v>0.15</v>
      </c>
      <c r="D22" s="60">
        <v>0.5</v>
      </c>
      <c r="E22" s="60">
        <v>0.25</v>
      </c>
      <c r="F22" s="60">
        <v>0.5</v>
      </c>
    </row>
    <row r="23" spans="1:6">
      <c r="A23" s="58" t="s">
        <v>321</v>
      </c>
      <c r="B23" s="58" t="s">
        <v>359</v>
      </c>
      <c r="C23" s="59">
        <v>0.15</v>
      </c>
      <c r="D23" s="60">
        <v>0.5</v>
      </c>
      <c r="E23" s="60">
        <v>0.25</v>
      </c>
      <c r="F23" s="60">
        <v>0.5</v>
      </c>
    </row>
    <row r="24" spans="1:6">
      <c r="A24" s="58" t="s">
        <v>150</v>
      </c>
      <c r="B24" s="58" t="s">
        <v>360</v>
      </c>
      <c r="C24" s="59">
        <v>0.15</v>
      </c>
      <c r="D24" s="60">
        <v>0.5</v>
      </c>
      <c r="E24" s="60">
        <v>0.25</v>
      </c>
      <c r="F24" s="60">
        <v>0.5</v>
      </c>
    </row>
    <row r="25" spans="1:6">
      <c r="A25" s="58" t="s">
        <v>322</v>
      </c>
      <c r="B25" s="58" t="s">
        <v>361</v>
      </c>
      <c r="C25" s="59">
        <v>0.15</v>
      </c>
      <c r="D25" s="60">
        <v>0.5</v>
      </c>
      <c r="E25" s="60">
        <v>0.25</v>
      </c>
      <c r="F25" s="60">
        <v>0.5</v>
      </c>
    </row>
    <row r="26" spans="1:6">
      <c r="A26" s="58" t="s">
        <v>151</v>
      </c>
      <c r="B26" s="58" t="s">
        <v>362</v>
      </c>
      <c r="C26" s="59">
        <v>0.25</v>
      </c>
      <c r="D26" s="60">
        <v>0.5</v>
      </c>
      <c r="E26" s="60">
        <v>0.25</v>
      </c>
      <c r="F26" s="60">
        <v>0.5</v>
      </c>
    </row>
    <row r="27" spans="1:6">
      <c r="A27" s="58" t="s">
        <v>152</v>
      </c>
      <c r="B27" s="58" t="s">
        <v>363</v>
      </c>
      <c r="C27" s="59">
        <v>0.19</v>
      </c>
      <c r="D27" s="60">
        <v>0.5</v>
      </c>
      <c r="E27" s="60">
        <v>0.25</v>
      </c>
      <c r="F27" s="60">
        <v>0.5</v>
      </c>
    </row>
    <row r="28" spans="1:6">
      <c r="A28" s="58" t="s">
        <v>323</v>
      </c>
      <c r="B28" s="58" t="s">
        <v>364</v>
      </c>
      <c r="C28" s="59">
        <v>0.35</v>
      </c>
      <c r="D28" s="60">
        <v>0.5</v>
      </c>
      <c r="E28" s="60">
        <v>0.25</v>
      </c>
      <c r="F28" s="60">
        <v>0.5</v>
      </c>
    </row>
    <row r="29" spans="1:6">
      <c r="A29" s="58" t="s">
        <v>153</v>
      </c>
      <c r="B29" s="58" t="s">
        <v>365</v>
      </c>
      <c r="C29" s="59">
        <v>0.15</v>
      </c>
      <c r="D29" s="60">
        <v>0.5</v>
      </c>
      <c r="E29" s="60">
        <v>0.25</v>
      </c>
      <c r="F29" s="60">
        <v>0.5</v>
      </c>
    </row>
    <row r="30" spans="1:6">
      <c r="A30" s="58" t="s">
        <v>154</v>
      </c>
      <c r="B30" s="58" t="s">
        <v>366</v>
      </c>
      <c r="C30" s="59">
        <v>0.15</v>
      </c>
      <c r="D30" s="60">
        <v>0.5</v>
      </c>
      <c r="E30" s="61">
        <v>0.15</v>
      </c>
      <c r="F30" s="60">
        <v>0.5</v>
      </c>
    </row>
    <row r="31" spans="1:6">
      <c r="A31" s="58" t="s">
        <v>155</v>
      </c>
      <c r="B31" s="58" t="s">
        <v>367</v>
      </c>
      <c r="C31" s="59">
        <v>0.15</v>
      </c>
      <c r="D31" s="60">
        <v>0.5</v>
      </c>
      <c r="E31" s="60">
        <v>0.25</v>
      </c>
      <c r="F31" s="60">
        <v>0.5</v>
      </c>
    </row>
    <row r="32" spans="1:6">
      <c r="A32" s="58" t="s">
        <v>156</v>
      </c>
      <c r="B32" s="58" t="s">
        <v>368</v>
      </c>
      <c r="C32" s="59">
        <v>0.25</v>
      </c>
      <c r="D32" s="60">
        <v>0.5</v>
      </c>
      <c r="E32" s="60">
        <v>0.25</v>
      </c>
      <c r="F32" s="60">
        <v>0.5</v>
      </c>
    </row>
    <row r="33" spans="1:6">
      <c r="A33" s="58" t="s">
        <v>157</v>
      </c>
      <c r="B33" s="58" t="s">
        <v>369</v>
      </c>
      <c r="C33" s="59">
        <v>0.4</v>
      </c>
      <c r="D33" s="60">
        <v>0.5</v>
      </c>
      <c r="E33" s="60">
        <v>0.25</v>
      </c>
      <c r="F33" s="60">
        <v>0.5</v>
      </c>
    </row>
    <row r="34" spans="1:6">
      <c r="A34" s="58" t="s">
        <v>158</v>
      </c>
      <c r="B34" s="58" t="s">
        <v>370</v>
      </c>
      <c r="C34" s="59">
        <v>0.15</v>
      </c>
      <c r="D34" s="60">
        <v>0.5</v>
      </c>
      <c r="E34" s="60">
        <v>0.25</v>
      </c>
      <c r="F34" s="60">
        <v>0.5</v>
      </c>
    </row>
    <row r="35" spans="1:6">
      <c r="A35" s="58" t="s">
        <v>324</v>
      </c>
      <c r="B35" s="58" t="s">
        <v>371</v>
      </c>
      <c r="C35" s="59">
        <v>0.3</v>
      </c>
      <c r="D35" s="60">
        <v>0.5</v>
      </c>
      <c r="E35" s="60">
        <v>0.25</v>
      </c>
      <c r="F35" s="60">
        <v>0.5</v>
      </c>
    </row>
    <row r="36" spans="1:6">
      <c r="A36" s="58" t="s">
        <v>159</v>
      </c>
      <c r="B36" s="58" t="s">
        <v>372</v>
      </c>
      <c r="C36" s="59">
        <v>0.15</v>
      </c>
      <c r="D36" s="60">
        <v>0.5</v>
      </c>
      <c r="E36" s="60">
        <v>0.25</v>
      </c>
      <c r="F36" s="60">
        <v>0.5</v>
      </c>
    </row>
    <row r="37" spans="1:6">
      <c r="A37" s="58" t="s">
        <v>160</v>
      </c>
      <c r="B37" s="58" t="s">
        <v>373</v>
      </c>
      <c r="C37" s="59">
        <v>0.15</v>
      </c>
      <c r="D37" s="60">
        <v>0.5</v>
      </c>
      <c r="E37" s="60">
        <v>0.25</v>
      </c>
      <c r="F37" s="60">
        <v>0.5</v>
      </c>
    </row>
    <row r="38" spans="1:6">
      <c r="A38" s="58" t="s">
        <v>161</v>
      </c>
      <c r="B38" s="58" t="s">
        <v>374</v>
      </c>
      <c r="C38" s="59">
        <v>0.15</v>
      </c>
      <c r="D38" s="60">
        <v>0.5</v>
      </c>
      <c r="E38" s="60">
        <v>0.25</v>
      </c>
      <c r="F38" s="60">
        <v>0.5</v>
      </c>
    </row>
    <row r="39" spans="1:6">
      <c r="A39" s="58" t="s">
        <v>162</v>
      </c>
      <c r="B39" s="58" t="s">
        <v>375</v>
      </c>
      <c r="C39" s="59">
        <v>0.19</v>
      </c>
      <c r="D39" s="60">
        <v>0.5</v>
      </c>
      <c r="E39" s="60">
        <v>0.25</v>
      </c>
      <c r="F39" s="60">
        <v>0.5</v>
      </c>
    </row>
    <row r="40" spans="1:6">
      <c r="A40" s="58" t="s">
        <v>163</v>
      </c>
      <c r="B40" s="58" t="s">
        <v>376</v>
      </c>
      <c r="C40" s="59">
        <v>0.15</v>
      </c>
      <c r="D40" s="60">
        <v>0.5</v>
      </c>
      <c r="E40" s="60">
        <v>0.25</v>
      </c>
      <c r="F40" s="60">
        <v>0.5</v>
      </c>
    </row>
    <row r="41" spans="1:6">
      <c r="A41" s="58" t="s">
        <v>325</v>
      </c>
      <c r="B41" s="58" t="s">
        <v>377</v>
      </c>
      <c r="C41" s="59">
        <v>0.25</v>
      </c>
      <c r="D41" s="60">
        <v>0.5</v>
      </c>
      <c r="E41" s="60">
        <v>0.25</v>
      </c>
      <c r="F41" s="60">
        <v>0.5</v>
      </c>
    </row>
    <row r="42" spans="1:6">
      <c r="A42" s="58" t="s">
        <v>164</v>
      </c>
      <c r="B42" s="58" t="s">
        <v>378</v>
      </c>
      <c r="C42" s="59">
        <v>0.15</v>
      </c>
      <c r="D42" s="60">
        <v>0.5</v>
      </c>
      <c r="E42" s="60">
        <v>0.25</v>
      </c>
      <c r="F42" s="60">
        <v>0.5</v>
      </c>
    </row>
    <row r="43" spans="1:6">
      <c r="A43" s="58" t="s">
        <v>326</v>
      </c>
      <c r="B43" s="58" t="s">
        <v>379</v>
      </c>
      <c r="C43" s="59">
        <v>0.4</v>
      </c>
      <c r="D43" s="60">
        <v>0.5</v>
      </c>
      <c r="E43" s="60">
        <v>0.25</v>
      </c>
      <c r="F43" s="60">
        <v>0.5</v>
      </c>
    </row>
    <row r="44" spans="1:6">
      <c r="A44" s="58" t="s">
        <v>327</v>
      </c>
      <c r="B44" s="58" t="s">
        <v>380</v>
      </c>
      <c r="C44" s="59">
        <v>0.15</v>
      </c>
      <c r="D44" s="60">
        <v>0.5</v>
      </c>
      <c r="E44" s="60">
        <v>0.25</v>
      </c>
      <c r="F44" s="60">
        <v>0.5</v>
      </c>
    </row>
    <row r="45" spans="1:6">
      <c r="A45" s="58" t="s">
        <v>328</v>
      </c>
      <c r="B45" s="58" t="s">
        <v>381</v>
      </c>
      <c r="C45" s="59">
        <v>0.15</v>
      </c>
      <c r="D45" s="60">
        <v>0.5</v>
      </c>
      <c r="E45" s="60">
        <v>0.25</v>
      </c>
      <c r="F45" s="60">
        <v>0.5</v>
      </c>
    </row>
    <row r="46" spans="1:6">
      <c r="A46" s="58" t="s">
        <v>329</v>
      </c>
      <c r="B46" s="58" t="s">
        <v>382</v>
      </c>
      <c r="C46" s="59">
        <v>0.15</v>
      </c>
      <c r="D46" s="60">
        <v>0.5</v>
      </c>
      <c r="E46" s="60">
        <v>0.25</v>
      </c>
      <c r="F46" s="60">
        <v>0.5</v>
      </c>
    </row>
    <row r="47" spans="1:6">
      <c r="A47" s="58" t="s">
        <v>173</v>
      </c>
      <c r="B47" s="58" t="s">
        <v>383</v>
      </c>
      <c r="C47" s="59">
        <v>0.18</v>
      </c>
      <c r="D47" s="60">
        <v>0.5</v>
      </c>
      <c r="E47" s="60">
        <v>0.25</v>
      </c>
      <c r="F47" s="60">
        <v>0.5</v>
      </c>
    </row>
    <row r="48" spans="1:6">
      <c r="A48" s="58" t="s">
        <v>174</v>
      </c>
      <c r="B48" s="58" t="s">
        <v>384</v>
      </c>
      <c r="C48" s="59">
        <v>0.15</v>
      </c>
      <c r="D48" s="60">
        <v>0.5</v>
      </c>
      <c r="E48" s="60">
        <v>0.25</v>
      </c>
      <c r="F48" s="60">
        <v>0.5</v>
      </c>
    </row>
    <row r="49" spans="1:6">
      <c r="A49" s="58" t="s">
        <v>330</v>
      </c>
      <c r="B49" s="58" t="s">
        <v>385</v>
      </c>
      <c r="C49" s="59">
        <v>0.15</v>
      </c>
      <c r="D49" s="60">
        <v>0.5</v>
      </c>
      <c r="E49" s="60">
        <v>0.25</v>
      </c>
      <c r="F49" s="60">
        <v>0.5</v>
      </c>
    </row>
    <row r="50" spans="1:6">
      <c r="A50" s="58" t="s">
        <v>176</v>
      </c>
      <c r="B50" s="58" t="s">
        <v>386</v>
      </c>
      <c r="C50" s="59">
        <v>0.15</v>
      </c>
      <c r="D50" s="60">
        <v>0.5</v>
      </c>
      <c r="E50" s="60">
        <v>0.25</v>
      </c>
      <c r="F50" s="60">
        <v>0.5</v>
      </c>
    </row>
    <row r="51" spans="1:6">
      <c r="A51" s="58" t="s">
        <v>177</v>
      </c>
      <c r="B51" s="58" t="s">
        <v>387</v>
      </c>
      <c r="C51" s="59">
        <v>0.19</v>
      </c>
      <c r="D51" s="60">
        <v>0.5</v>
      </c>
      <c r="E51" s="60">
        <v>0.25</v>
      </c>
      <c r="F51" s="60">
        <v>0.5</v>
      </c>
    </row>
    <row r="52" spans="1:6">
      <c r="A52" s="58" t="s">
        <v>331</v>
      </c>
      <c r="B52" s="58" t="s">
        <v>388</v>
      </c>
      <c r="C52" s="59">
        <v>0.15</v>
      </c>
      <c r="D52" s="60">
        <v>0.5</v>
      </c>
      <c r="E52" s="60">
        <v>0.25</v>
      </c>
      <c r="F52" s="60">
        <v>0.5</v>
      </c>
    </row>
    <row r="53" spans="1:6">
      <c r="A53" s="58" t="s">
        <v>332</v>
      </c>
      <c r="B53" s="58" t="s">
        <v>389</v>
      </c>
      <c r="C53" s="59">
        <v>0.19</v>
      </c>
      <c r="D53" s="60">
        <v>0.5</v>
      </c>
      <c r="E53" s="60">
        <v>0.25</v>
      </c>
      <c r="F53" s="60">
        <v>0.5</v>
      </c>
    </row>
    <row r="54" spans="1:6">
      <c r="A54" s="58" t="s">
        <v>178</v>
      </c>
      <c r="B54" s="58" t="s">
        <v>390</v>
      </c>
      <c r="C54" s="59">
        <v>0.35</v>
      </c>
      <c r="D54" s="60">
        <v>0.5</v>
      </c>
      <c r="E54" s="60">
        <v>0.25</v>
      </c>
      <c r="F54" s="60">
        <v>0.5</v>
      </c>
    </row>
    <row r="55" spans="1:6">
      <c r="A55" s="58" t="s">
        <v>333</v>
      </c>
      <c r="B55" s="58" t="s">
        <v>391</v>
      </c>
      <c r="C55" s="59">
        <v>0.3</v>
      </c>
      <c r="D55" s="60">
        <v>0.5</v>
      </c>
      <c r="E55" s="60">
        <v>0.25</v>
      </c>
      <c r="F55" s="60">
        <v>0.5</v>
      </c>
    </row>
    <row r="56" spans="1:6">
      <c r="A56" s="58" t="s">
        <v>334</v>
      </c>
      <c r="B56" s="58" t="s">
        <v>419</v>
      </c>
      <c r="C56" s="59">
        <v>0.15</v>
      </c>
      <c r="D56" s="60">
        <v>0.5</v>
      </c>
      <c r="E56" s="61">
        <v>0.15</v>
      </c>
      <c r="F56" s="60">
        <v>0.5</v>
      </c>
    </row>
    <row r="57" spans="1:6">
      <c r="A57" s="58" t="s">
        <v>335</v>
      </c>
      <c r="B57" s="58" t="s">
        <v>392</v>
      </c>
      <c r="C57" s="59">
        <v>0.2</v>
      </c>
      <c r="D57" s="60">
        <v>0.5</v>
      </c>
      <c r="E57" s="60">
        <v>0.25</v>
      </c>
      <c r="F57" s="60">
        <v>0.5</v>
      </c>
    </row>
    <row r="58" spans="1:6">
      <c r="A58" s="58" t="s">
        <v>182</v>
      </c>
      <c r="B58" s="58" t="s">
        <v>393</v>
      </c>
      <c r="C58" s="59">
        <v>0.39</v>
      </c>
      <c r="D58" s="60">
        <v>0.5</v>
      </c>
      <c r="E58" s="60">
        <v>0.25</v>
      </c>
      <c r="F58" s="60">
        <v>0.5</v>
      </c>
    </row>
    <row r="59" spans="1:6">
      <c r="A59" s="58" t="s">
        <v>183</v>
      </c>
      <c r="B59" s="58" t="s">
        <v>394</v>
      </c>
      <c r="C59" s="59">
        <v>0.41</v>
      </c>
      <c r="D59" s="60">
        <v>0.5</v>
      </c>
      <c r="E59" s="60">
        <v>0.25</v>
      </c>
      <c r="F59" s="60">
        <v>0.5</v>
      </c>
    </row>
    <row r="60" spans="1:6">
      <c r="A60" s="58" t="s">
        <v>184</v>
      </c>
      <c r="B60" s="58" t="s">
        <v>395</v>
      </c>
      <c r="C60" s="59">
        <v>0.2</v>
      </c>
      <c r="D60" s="60">
        <v>0.5</v>
      </c>
      <c r="E60" s="60">
        <v>0.25</v>
      </c>
      <c r="F60" s="60">
        <v>0.5</v>
      </c>
    </row>
    <row r="61" spans="1:6">
      <c r="A61" s="58" t="s">
        <v>185</v>
      </c>
      <c r="B61" s="58" t="s">
        <v>396</v>
      </c>
      <c r="C61" s="59">
        <v>0.19</v>
      </c>
      <c r="D61" s="60">
        <v>0.5</v>
      </c>
      <c r="E61" s="60">
        <v>0.25</v>
      </c>
      <c r="F61" s="60">
        <v>0.5</v>
      </c>
    </row>
    <row r="62" spans="1:6">
      <c r="A62" s="58" t="s">
        <v>336</v>
      </c>
      <c r="B62" s="58" t="s">
        <v>397</v>
      </c>
      <c r="C62" s="59">
        <v>0.15</v>
      </c>
      <c r="D62" s="60">
        <v>0.5</v>
      </c>
      <c r="E62" s="60">
        <v>0.25</v>
      </c>
      <c r="F62" s="60">
        <v>0.5</v>
      </c>
    </row>
    <row r="63" spans="1:6">
      <c r="A63" s="58" t="s">
        <v>186</v>
      </c>
      <c r="B63" s="58" t="s">
        <v>398</v>
      </c>
      <c r="C63" s="59">
        <v>0.25</v>
      </c>
      <c r="D63" s="60">
        <v>0.5</v>
      </c>
      <c r="E63" s="60">
        <v>0.25</v>
      </c>
      <c r="F63" s="60">
        <v>0.5</v>
      </c>
    </row>
    <row r="64" spans="1:6">
      <c r="A64" s="58" t="s">
        <v>337</v>
      </c>
      <c r="B64" s="58" t="s">
        <v>408</v>
      </c>
      <c r="C64" s="59">
        <v>0.15</v>
      </c>
      <c r="D64" s="60">
        <v>0.5</v>
      </c>
      <c r="E64" s="60">
        <v>0.25</v>
      </c>
      <c r="F64" s="60">
        <v>0.5</v>
      </c>
    </row>
    <row r="65" spans="1:6">
      <c r="A65" s="58" t="s">
        <v>338</v>
      </c>
      <c r="B65" s="58" t="s">
        <v>399</v>
      </c>
      <c r="C65" s="59">
        <v>0.15</v>
      </c>
      <c r="D65" s="60">
        <v>0.5</v>
      </c>
      <c r="E65" s="60">
        <v>0.25</v>
      </c>
      <c r="F65" s="60">
        <v>0.5</v>
      </c>
    </row>
    <row r="66" spans="1:6" ht="27">
      <c r="A66" s="58" t="s">
        <v>339</v>
      </c>
      <c r="B66" s="58" t="s">
        <v>400</v>
      </c>
      <c r="C66" s="59">
        <v>0.1</v>
      </c>
      <c r="D66" s="63" t="s">
        <v>295</v>
      </c>
      <c r="E66" s="61">
        <v>0.1</v>
      </c>
      <c r="F66" s="60">
        <v>0.5</v>
      </c>
    </row>
    <row r="67" spans="1:6">
      <c r="A67" s="58" t="s">
        <v>187</v>
      </c>
      <c r="B67" s="58" t="s">
        <v>401</v>
      </c>
      <c r="C67" s="59">
        <v>0.15</v>
      </c>
      <c r="D67" s="60">
        <v>0.5</v>
      </c>
      <c r="E67" s="60">
        <v>0.25</v>
      </c>
      <c r="F67" s="60">
        <v>0.5</v>
      </c>
    </row>
    <row r="68" spans="1:6">
      <c r="A68" s="58" t="s">
        <v>188</v>
      </c>
      <c r="B68" s="58" t="s">
        <v>402</v>
      </c>
      <c r="C68" s="59">
        <v>0.15</v>
      </c>
      <c r="D68" s="60">
        <v>0.5</v>
      </c>
      <c r="E68" s="60">
        <v>0.25</v>
      </c>
      <c r="F68" s="60">
        <v>0.5</v>
      </c>
    </row>
    <row r="69" spans="1:6">
      <c r="A69" s="58" t="s">
        <v>189</v>
      </c>
      <c r="B69" s="58" t="s">
        <v>403</v>
      </c>
      <c r="C69" s="59">
        <v>0.2</v>
      </c>
      <c r="D69" s="60">
        <v>0.5</v>
      </c>
      <c r="E69" s="60">
        <v>0.25</v>
      </c>
      <c r="F69" s="60">
        <v>0.5</v>
      </c>
    </row>
    <row r="70" spans="1:6">
      <c r="A70" s="58" t="s">
        <v>190</v>
      </c>
      <c r="B70" s="58" t="s">
        <v>404</v>
      </c>
      <c r="C70" s="59">
        <v>0.15</v>
      </c>
      <c r="D70" s="60">
        <v>0.5</v>
      </c>
      <c r="E70" s="60">
        <v>0.25</v>
      </c>
      <c r="F70" s="60">
        <v>0.5</v>
      </c>
    </row>
    <row r="71" spans="1:6">
      <c r="A71" s="58" t="s">
        <v>191</v>
      </c>
      <c r="B71" s="58" t="s">
        <v>405</v>
      </c>
      <c r="C71" s="59">
        <v>0.15</v>
      </c>
      <c r="D71" s="60">
        <v>0.5</v>
      </c>
      <c r="E71" s="60">
        <v>0.25</v>
      </c>
      <c r="F71" s="60">
        <v>0.5</v>
      </c>
    </row>
  </sheetData>
  <autoFilter ref="A2:F71"/>
  <mergeCells count="4">
    <mergeCell ref="B1:B2"/>
    <mergeCell ref="D1:F1"/>
    <mergeCell ref="C1:C2"/>
    <mergeCell ref="A1:A2"/>
  </mergeCells>
  <phoneticPr fontId="1" type="noConversion"/>
  <pageMargins left="0.7" right="0.7" top="0.75" bottom="0.75" header="0.3" footer="0.3"/>
  <pageSetup orientation="portrait" horizontalDpi="4294967292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B9" sqref="B9"/>
    </sheetView>
  </sheetViews>
  <sheetFormatPr defaultColWidth="9.125" defaultRowHeight="16.5"/>
  <cols>
    <col min="1" max="1" width="10" style="2" bestFit="1" customWidth="1"/>
    <col min="2" max="2" width="133.25" style="2" customWidth="1"/>
    <col min="3" max="3" width="180.875" style="2" bestFit="1" customWidth="1"/>
    <col min="4" max="16384" width="9.125" style="2"/>
  </cols>
  <sheetData>
    <row r="1" spans="1:3">
      <c r="A1" s="109" t="s">
        <v>25</v>
      </c>
      <c r="B1" s="110" t="s">
        <v>508</v>
      </c>
      <c r="C1" s="20" t="s">
        <v>509</v>
      </c>
    </row>
    <row r="2" spans="1:3">
      <c r="A2" s="107" t="s">
        <v>501</v>
      </c>
      <c r="B2" s="111" t="s">
        <v>506</v>
      </c>
      <c r="C2" s="114" t="s">
        <v>507</v>
      </c>
    </row>
    <row r="3" spans="1:3">
      <c r="A3" s="107" t="s">
        <v>502</v>
      </c>
      <c r="B3" s="111" t="s">
        <v>504</v>
      </c>
      <c r="C3" s="20"/>
    </row>
    <row r="4" spans="1:3" ht="33">
      <c r="A4" s="105" t="s">
        <v>503</v>
      </c>
      <c r="B4" s="112" t="s">
        <v>514</v>
      </c>
      <c r="C4" s="114" t="s">
        <v>505</v>
      </c>
    </row>
    <row r="5" spans="1:3">
      <c r="A5" s="107" t="s">
        <v>499</v>
      </c>
      <c r="B5" s="111" t="s">
        <v>518</v>
      </c>
      <c r="C5" s="20" t="s">
        <v>500</v>
      </c>
    </row>
    <row r="6" spans="1:3">
      <c r="A6" s="106" t="s">
        <v>510</v>
      </c>
      <c r="B6" s="108" t="s">
        <v>512</v>
      </c>
      <c r="C6" s="114" t="s">
        <v>521</v>
      </c>
    </row>
    <row r="7" spans="1:3" ht="33">
      <c r="A7" s="106" t="s">
        <v>511</v>
      </c>
      <c r="B7" s="113" t="s">
        <v>515</v>
      </c>
      <c r="C7" s="114"/>
    </row>
    <row r="8" spans="1:3">
      <c r="A8" s="106" t="s">
        <v>498</v>
      </c>
      <c r="B8" s="108" t="s">
        <v>513</v>
      </c>
      <c r="C8" s="114" t="s">
        <v>522</v>
      </c>
    </row>
    <row r="9" spans="1:3">
      <c r="A9" s="106" t="s">
        <v>519</v>
      </c>
      <c r="B9" s="108" t="s">
        <v>520</v>
      </c>
      <c r="C9" s="114" t="s">
        <v>523</v>
      </c>
    </row>
    <row r="10" spans="1:3" ht="33">
      <c r="A10" s="107" t="s">
        <v>495</v>
      </c>
      <c r="B10" s="22" t="s">
        <v>516</v>
      </c>
      <c r="C10" s="114" t="s">
        <v>517</v>
      </c>
    </row>
  </sheetData>
  <phoneticPr fontId="1" type="noConversion"/>
  <hyperlinks>
    <hyperlink ref="C4" r:id="rId1"/>
    <hyperlink ref="C2" r:id="rId2"/>
    <hyperlink ref="C6" r:id="rId3"/>
    <hyperlink ref="C10" r:id="rId4"/>
  </hyperlinks>
  <pageMargins left="0.7" right="0.7" top="0.75" bottom="0.75" header="0.3" footer="0.3"/>
  <pageSetup paperSize="9" orientation="portrait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>
      <selection activeCell="D54" sqref="D54"/>
    </sheetView>
  </sheetViews>
  <sheetFormatPr defaultColWidth="9.125" defaultRowHeight="16.5"/>
  <cols>
    <col min="1" max="1" width="13.25" style="2" bestFit="1" customWidth="1"/>
    <col min="2" max="2" width="16.875" style="2" customWidth="1"/>
    <col min="3" max="5" width="10.625" style="2" customWidth="1"/>
    <col min="6" max="6" width="20.875" style="2" bestFit="1" customWidth="1"/>
    <col min="7" max="9" width="20.625" style="2" customWidth="1"/>
    <col min="10" max="16384" width="9.125" style="2"/>
  </cols>
  <sheetData>
    <row r="1" spans="1:9">
      <c r="A1" s="181" t="s">
        <v>57</v>
      </c>
      <c r="B1" s="181" t="s">
        <v>58</v>
      </c>
      <c r="C1" s="181" t="s">
        <v>98</v>
      </c>
      <c r="D1" s="181"/>
      <c r="E1" s="181"/>
      <c r="F1" s="181"/>
      <c r="G1" s="181" t="s">
        <v>51</v>
      </c>
      <c r="H1" s="181"/>
      <c r="I1" s="181"/>
    </row>
    <row r="2" spans="1:9">
      <c r="A2" s="181"/>
      <c r="B2" s="181"/>
      <c r="C2" s="13" t="s">
        <v>44</v>
      </c>
      <c r="D2" s="13" t="s">
        <v>45</v>
      </c>
      <c r="E2" s="13" t="s">
        <v>40</v>
      </c>
      <c r="F2" s="13" t="s">
        <v>43</v>
      </c>
      <c r="G2" s="13" t="s">
        <v>103</v>
      </c>
      <c r="H2" s="13" t="s">
        <v>41</v>
      </c>
      <c r="I2" s="13" t="s">
        <v>42</v>
      </c>
    </row>
    <row r="3" spans="1:9" ht="33">
      <c r="A3" s="182" t="s">
        <v>37</v>
      </c>
      <c r="B3" s="6" t="s">
        <v>49</v>
      </c>
      <c r="C3" s="7">
        <v>0.1</v>
      </c>
      <c r="D3" s="7" t="s">
        <v>48</v>
      </c>
      <c r="E3" s="7">
        <v>0.2</v>
      </c>
      <c r="F3" s="7" t="s">
        <v>55</v>
      </c>
      <c r="G3" s="183">
        <v>0.5</v>
      </c>
      <c r="H3" s="183">
        <v>0.25</v>
      </c>
      <c r="I3" s="183">
        <v>0.25</v>
      </c>
    </row>
    <row r="4" spans="1:9" ht="33">
      <c r="A4" s="182"/>
      <c r="B4" s="6" t="s">
        <v>50</v>
      </c>
      <c r="C4" s="7">
        <v>0.1</v>
      </c>
      <c r="D4" s="7">
        <v>0.34</v>
      </c>
      <c r="E4" s="7">
        <v>0.2</v>
      </c>
      <c r="F4" s="7" t="s">
        <v>56</v>
      </c>
      <c r="G4" s="183"/>
      <c r="H4" s="183"/>
      <c r="I4" s="183"/>
    </row>
    <row r="5" spans="1:9" ht="33">
      <c r="A5" s="182" t="s">
        <v>39</v>
      </c>
      <c r="B5" s="6" t="s">
        <v>49</v>
      </c>
      <c r="C5" s="7">
        <v>0.1</v>
      </c>
      <c r="D5" s="7" t="s">
        <v>48</v>
      </c>
      <c r="E5" s="8" t="s">
        <v>46</v>
      </c>
      <c r="F5" s="9">
        <f>C5</f>
        <v>0.1</v>
      </c>
      <c r="G5" s="184">
        <v>0.5</v>
      </c>
      <c r="H5" s="183">
        <v>0.25</v>
      </c>
      <c r="I5" s="183">
        <v>0.25</v>
      </c>
    </row>
    <row r="6" spans="1:9" ht="33">
      <c r="A6" s="182"/>
      <c r="B6" s="6" t="s">
        <v>53</v>
      </c>
      <c r="C6" s="7">
        <v>0.1</v>
      </c>
      <c r="D6" s="10" t="s">
        <v>52</v>
      </c>
      <c r="E6" s="8" t="s">
        <v>46</v>
      </c>
      <c r="F6" s="10" t="s">
        <v>52</v>
      </c>
      <c r="G6" s="183"/>
      <c r="H6" s="183"/>
      <c r="I6" s="183"/>
    </row>
    <row r="7" spans="1:9" ht="33">
      <c r="A7" s="18" t="s">
        <v>100</v>
      </c>
      <c r="B7" s="6" t="s">
        <v>101</v>
      </c>
      <c r="C7" s="179">
        <v>0.1</v>
      </c>
      <c r="D7" s="180"/>
      <c r="E7" s="8" t="s">
        <v>102</v>
      </c>
      <c r="F7" s="12">
        <v>0.1</v>
      </c>
      <c r="G7" s="12" t="s">
        <v>104</v>
      </c>
      <c r="H7" s="7">
        <v>0.1</v>
      </c>
      <c r="I7" s="7">
        <v>0.1</v>
      </c>
    </row>
    <row r="8" spans="1:9" ht="33">
      <c r="A8" s="11" t="s">
        <v>38</v>
      </c>
      <c r="B8" s="6" t="s">
        <v>47</v>
      </c>
      <c r="C8" s="185" t="s">
        <v>46</v>
      </c>
      <c r="D8" s="186"/>
      <c r="E8" s="7">
        <v>0.25</v>
      </c>
      <c r="F8" s="7">
        <f>E8</f>
        <v>0.25</v>
      </c>
      <c r="G8" s="7">
        <v>0.5</v>
      </c>
      <c r="H8" s="12" t="s">
        <v>54</v>
      </c>
      <c r="I8" s="12" t="s">
        <v>54</v>
      </c>
    </row>
    <row r="9" spans="1:9">
      <c r="A9" s="37" t="s">
        <v>226</v>
      </c>
      <c r="B9" s="38"/>
      <c r="C9" s="39"/>
      <c r="D9" s="39"/>
      <c r="E9" s="40"/>
      <c r="F9" s="40"/>
      <c r="G9" s="40"/>
      <c r="H9" s="41"/>
      <c r="I9" s="41"/>
    </row>
    <row r="10" spans="1:9">
      <c r="A10" s="37"/>
      <c r="B10" s="38"/>
      <c r="C10" s="39"/>
      <c r="D10" s="39"/>
      <c r="E10" s="40"/>
      <c r="F10" s="40"/>
      <c r="G10" s="40"/>
      <c r="H10" s="41"/>
      <c r="I10" s="41"/>
    </row>
    <row r="11" spans="1:9">
      <c r="A11" s="17" t="s">
        <v>97</v>
      </c>
    </row>
    <row r="13" spans="1:9">
      <c r="A13" s="2" t="s">
        <v>95</v>
      </c>
    </row>
    <row r="14" spans="1:9">
      <c r="A14" s="15" t="s">
        <v>93</v>
      </c>
      <c r="B14" s="15" t="s">
        <v>94</v>
      </c>
      <c r="C14" s="15" t="s">
        <v>88</v>
      </c>
    </row>
    <row r="15" spans="1:9">
      <c r="A15" s="16" t="s">
        <v>68</v>
      </c>
      <c r="B15" s="16" t="s">
        <v>68</v>
      </c>
      <c r="C15" s="14">
        <v>0.34</v>
      </c>
    </row>
    <row r="16" spans="1:9">
      <c r="A16" s="16" t="s">
        <v>69</v>
      </c>
      <c r="B16" s="16" t="s">
        <v>69</v>
      </c>
      <c r="C16" s="14">
        <v>0.25</v>
      </c>
    </row>
    <row r="17" spans="1:3">
      <c r="A17" s="187" t="s">
        <v>89</v>
      </c>
      <c r="B17" s="16" t="s">
        <v>70</v>
      </c>
      <c r="C17" s="14">
        <v>0.46</v>
      </c>
    </row>
    <row r="18" spans="1:3">
      <c r="A18" s="188"/>
      <c r="B18" s="16" t="s">
        <v>71</v>
      </c>
      <c r="C18" s="14">
        <v>0.36</v>
      </c>
    </row>
    <row r="19" spans="1:3">
      <c r="A19" s="188"/>
      <c r="B19" s="16" t="s">
        <v>72</v>
      </c>
      <c r="C19" s="14">
        <v>0.32</v>
      </c>
    </row>
    <row r="20" spans="1:3">
      <c r="A20" s="188"/>
      <c r="B20" s="16" t="s">
        <v>73</v>
      </c>
      <c r="C20" s="14">
        <v>0.24</v>
      </c>
    </row>
    <row r="21" spans="1:3">
      <c r="A21" s="188"/>
      <c r="B21" s="16" t="s">
        <v>74</v>
      </c>
      <c r="C21" s="14">
        <v>0.17</v>
      </c>
    </row>
    <row r="22" spans="1:3">
      <c r="A22" s="188"/>
      <c r="B22" s="16" t="s">
        <v>75</v>
      </c>
      <c r="C22" s="14">
        <v>0.1</v>
      </c>
    </row>
    <row r="23" spans="1:3">
      <c r="A23" s="189"/>
      <c r="B23" s="16" t="s">
        <v>76</v>
      </c>
      <c r="C23" s="14">
        <v>0.1</v>
      </c>
    </row>
    <row r="24" spans="1:3">
      <c r="A24" s="187" t="s">
        <v>90</v>
      </c>
      <c r="B24" s="16" t="s">
        <v>77</v>
      </c>
      <c r="C24" s="14">
        <v>0.2</v>
      </c>
    </row>
    <row r="25" spans="1:3">
      <c r="A25" s="189"/>
      <c r="B25" s="16" t="s">
        <v>78</v>
      </c>
      <c r="C25" s="14">
        <v>0.1</v>
      </c>
    </row>
    <row r="26" spans="1:3">
      <c r="A26" s="187" t="s">
        <v>91</v>
      </c>
      <c r="B26" s="16" t="s">
        <v>79</v>
      </c>
      <c r="C26" s="14">
        <v>0.3</v>
      </c>
    </row>
    <row r="27" spans="1:3">
      <c r="A27" s="188"/>
      <c r="B27" s="16" t="s">
        <v>96</v>
      </c>
      <c r="C27" s="14">
        <v>0.26</v>
      </c>
    </row>
    <row r="28" spans="1:3">
      <c r="A28" s="188"/>
      <c r="B28" s="16" t="s">
        <v>80</v>
      </c>
      <c r="C28" s="14">
        <v>0.1</v>
      </c>
    </row>
    <row r="29" spans="1:3">
      <c r="A29" s="188"/>
      <c r="B29" s="16" t="s">
        <v>81</v>
      </c>
      <c r="C29" s="14">
        <v>0.1</v>
      </c>
    </row>
    <row r="30" spans="1:3">
      <c r="A30" s="189"/>
      <c r="B30" s="16" t="s">
        <v>82</v>
      </c>
      <c r="C30" s="14">
        <v>0.1</v>
      </c>
    </row>
    <row r="31" spans="1:3">
      <c r="A31" s="187" t="s">
        <v>92</v>
      </c>
      <c r="B31" s="16" t="s">
        <v>83</v>
      </c>
      <c r="C31" s="14">
        <v>0.1</v>
      </c>
    </row>
    <row r="32" spans="1:3">
      <c r="A32" s="188"/>
      <c r="B32" s="16" t="s">
        <v>84</v>
      </c>
      <c r="C32" s="14">
        <v>0.1</v>
      </c>
    </row>
    <row r="33" spans="1:3">
      <c r="A33" s="188"/>
      <c r="B33" s="16" t="s">
        <v>85</v>
      </c>
      <c r="C33" s="14">
        <v>0.1</v>
      </c>
    </row>
    <row r="34" spans="1:3">
      <c r="A34" s="188"/>
      <c r="B34" s="16" t="s">
        <v>86</v>
      </c>
      <c r="C34" s="14">
        <v>0.1</v>
      </c>
    </row>
    <row r="35" spans="1:3">
      <c r="A35" s="189"/>
      <c r="B35" s="16" t="s">
        <v>87</v>
      </c>
      <c r="C35" s="14">
        <v>0.1</v>
      </c>
    </row>
  </sheetData>
  <mergeCells count="18">
    <mergeCell ref="C8:D8"/>
    <mergeCell ref="A17:A23"/>
    <mergeCell ref="A24:A25"/>
    <mergeCell ref="A26:A30"/>
    <mergeCell ref="A31:A35"/>
    <mergeCell ref="G1:I1"/>
    <mergeCell ref="G3:G4"/>
    <mergeCell ref="H3:H4"/>
    <mergeCell ref="I3:I4"/>
    <mergeCell ref="G5:G6"/>
    <mergeCell ref="H5:H6"/>
    <mergeCell ref="I5:I6"/>
    <mergeCell ref="C7:D7"/>
    <mergeCell ref="C1:F1"/>
    <mergeCell ref="A1:A2"/>
    <mergeCell ref="B1:B2"/>
    <mergeCell ref="A3:A4"/>
    <mergeCell ref="A5:A6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3"/>
  <sheetViews>
    <sheetView workbookViewId="0">
      <selection activeCell="C19" sqref="C19"/>
    </sheetView>
  </sheetViews>
  <sheetFormatPr defaultColWidth="9.125" defaultRowHeight="16.5"/>
  <cols>
    <col min="1" max="1" width="9.125" style="2"/>
    <col min="2" max="2" width="31" style="2" bestFit="1" customWidth="1"/>
    <col min="3" max="4" width="7.5" style="2" bestFit="1" customWidth="1"/>
    <col min="5" max="5" width="7.5" style="2" customWidth="1"/>
    <col min="6" max="6" width="12.5" style="2" bestFit="1" customWidth="1"/>
    <col min="7" max="7" width="17.375" style="2" bestFit="1" customWidth="1"/>
    <col min="8" max="8" width="41" style="2" customWidth="1"/>
    <col min="9" max="16384" width="9.125" style="2"/>
  </cols>
  <sheetData>
    <row r="2" spans="1:7">
      <c r="A2" s="20"/>
      <c r="B2" s="187" t="s">
        <v>141</v>
      </c>
      <c r="C2" s="190" t="s">
        <v>166</v>
      </c>
      <c r="D2" s="190"/>
      <c r="E2" s="21"/>
      <c r="F2" s="20"/>
      <c r="G2" s="20"/>
    </row>
    <row r="3" spans="1:7">
      <c r="A3" s="20"/>
      <c r="B3" s="189"/>
      <c r="C3" s="20" t="s">
        <v>207</v>
      </c>
      <c r="D3" s="20" t="s">
        <v>203</v>
      </c>
      <c r="E3" s="20" t="s">
        <v>218</v>
      </c>
      <c r="F3" s="20" t="s">
        <v>201</v>
      </c>
      <c r="G3" s="20" t="s">
        <v>206</v>
      </c>
    </row>
    <row r="4" spans="1:7">
      <c r="A4" s="20" t="s">
        <v>233</v>
      </c>
      <c r="B4" s="20" t="s">
        <v>197</v>
      </c>
      <c r="C4" s="14">
        <v>0.3</v>
      </c>
      <c r="D4" s="14">
        <v>0.3</v>
      </c>
      <c r="E4" s="14"/>
      <c r="F4" s="20" t="s">
        <v>204</v>
      </c>
      <c r="G4" s="20" t="str">
        <f>IF(D4&gt;C4,"상승",IF(D4&lt;C4,"하락", "동일"))</f>
        <v>동일</v>
      </c>
    </row>
    <row r="5" spans="1:7">
      <c r="A5" s="20" t="s">
        <v>234</v>
      </c>
      <c r="B5" s="20" t="s">
        <v>142</v>
      </c>
      <c r="C5" s="14">
        <v>0.32</v>
      </c>
      <c r="D5" s="20"/>
      <c r="E5" s="20"/>
      <c r="F5" s="20"/>
      <c r="G5" s="20" t="str">
        <f t="shared" ref="G5:G63" si="0">IF(D5&gt;C5,"상승",IF(D5&lt;C5,"하락", "동일"))</f>
        <v>하락</v>
      </c>
    </row>
    <row r="6" spans="1:7">
      <c r="A6" s="20" t="s">
        <v>235</v>
      </c>
      <c r="B6" s="20" t="s">
        <v>143</v>
      </c>
      <c r="C6" s="14">
        <v>0.37</v>
      </c>
      <c r="D6" s="14">
        <v>0.35</v>
      </c>
      <c r="E6" s="14"/>
      <c r="F6" s="20" t="s">
        <v>202</v>
      </c>
      <c r="G6" s="20" t="str">
        <f t="shared" si="0"/>
        <v>하락</v>
      </c>
    </row>
    <row r="7" spans="1:7">
      <c r="A7" s="20" t="s">
        <v>236</v>
      </c>
      <c r="B7" s="20" t="s">
        <v>165</v>
      </c>
      <c r="C7" s="14">
        <v>0.35</v>
      </c>
      <c r="D7" s="14">
        <v>0.3</v>
      </c>
      <c r="E7" s="14"/>
      <c r="F7" s="20" t="s">
        <v>202</v>
      </c>
      <c r="G7" s="20" t="str">
        <f t="shared" si="0"/>
        <v>하락</v>
      </c>
    </row>
    <row r="8" spans="1:7">
      <c r="A8" s="20" t="s">
        <v>237</v>
      </c>
      <c r="B8" s="20" t="s">
        <v>144</v>
      </c>
      <c r="C8" s="14">
        <v>0.37</v>
      </c>
      <c r="D8" s="20"/>
      <c r="E8" s="20"/>
      <c r="F8" s="20"/>
      <c r="G8" s="20" t="str">
        <f t="shared" si="0"/>
        <v>하락</v>
      </c>
    </row>
    <row r="9" spans="1:7">
      <c r="A9" s="20" t="s">
        <v>238</v>
      </c>
      <c r="B9" s="20" t="s">
        <v>205</v>
      </c>
      <c r="C9" s="14">
        <v>0.1</v>
      </c>
      <c r="D9" s="14">
        <v>0.5</v>
      </c>
      <c r="E9" s="14"/>
      <c r="F9" s="20" t="s">
        <v>204</v>
      </c>
      <c r="G9" s="20" t="str">
        <f t="shared" si="0"/>
        <v>상승</v>
      </c>
    </row>
    <row r="10" spans="1:7">
      <c r="A10" s="20" t="s">
        <v>239</v>
      </c>
      <c r="B10" s="20" t="s">
        <v>195</v>
      </c>
      <c r="C10" s="14">
        <v>0.24</v>
      </c>
      <c r="D10" s="14">
        <v>0.25</v>
      </c>
      <c r="E10" s="14"/>
      <c r="F10" s="20" t="s">
        <v>204</v>
      </c>
      <c r="G10" s="20" t="str">
        <f t="shared" si="0"/>
        <v>상승</v>
      </c>
    </row>
    <row r="11" spans="1:7">
      <c r="A11" s="20" t="s">
        <v>240</v>
      </c>
      <c r="B11" s="20" t="s">
        <v>212</v>
      </c>
      <c r="C11" s="14"/>
      <c r="D11" s="14">
        <v>0.35</v>
      </c>
      <c r="E11" s="14"/>
      <c r="F11" s="20" t="s">
        <v>213</v>
      </c>
      <c r="G11" s="20" t="str">
        <f t="shared" si="0"/>
        <v>상승</v>
      </c>
    </row>
    <row r="12" spans="1:7">
      <c r="A12" s="20" t="s">
        <v>241</v>
      </c>
      <c r="B12" s="20" t="s">
        <v>145</v>
      </c>
      <c r="C12" s="14">
        <v>0.49</v>
      </c>
      <c r="D12" s="14">
        <v>0.36</v>
      </c>
      <c r="E12" s="14"/>
      <c r="F12" s="20" t="s">
        <v>202</v>
      </c>
      <c r="G12" s="20" t="str">
        <f t="shared" si="0"/>
        <v>하락</v>
      </c>
    </row>
    <row r="13" spans="1:7">
      <c r="A13" s="20" t="s">
        <v>242</v>
      </c>
      <c r="B13" s="20" t="s">
        <v>146</v>
      </c>
      <c r="C13" s="14">
        <v>0.11</v>
      </c>
      <c r="D13" s="20"/>
      <c r="E13" s="20"/>
      <c r="F13" s="20"/>
      <c r="G13" s="20" t="str">
        <f t="shared" si="0"/>
        <v>하락</v>
      </c>
    </row>
    <row r="14" spans="1:7">
      <c r="A14" s="20" t="s">
        <v>243</v>
      </c>
      <c r="B14" s="20" t="s">
        <v>147</v>
      </c>
      <c r="C14" s="14">
        <v>0.13</v>
      </c>
      <c r="D14" s="20"/>
      <c r="E14" s="20"/>
      <c r="F14" s="20"/>
      <c r="G14" s="20" t="str">
        <f t="shared" si="0"/>
        <v>하락</v>
      </c>
    </row>
    <row r="15" spans="1:7">
      <c r="A15" s="20" t="s">
        <v>244</v>
      </c>
      <c r="B15" s="20" t="s">
        <v>148</v>
      </c>
      <c r="C15" s="14">
        <v>0.34</v>
      </c>
      <c r="D15" s="20"/>
      <c r="E15" s="20"/>
      <c r="F15" s="20"/>
      <c r="G15" s="20" t="str">
        <f t="shared" si="0"/>
        <v>하락</v>
      </c>
    </row>
    <row r="16" spans="1:7">
      <c r="A16" s="20" t="s">
        <v>245</v>
      </c>
      <c r="B16" s="20" t="s">
        <v>172</v>
      </c>
      <c r="C16" s="14">
        <v>0.21</v>
      </c>
      <c r="D16" s="20"/>
      <c r="E16" s="20"/>
      <c r="F16" s="20"/>
      <c r="G16" s="20" t="str">
        <f t="shared" si="0"/>
        <v>하락</v>
      </c>
    </row>
    <row r="17" spans="1:8">
      <c r="A17" s="20" t="s">
        <v>246</v>
      </c>
      <c r="B17" s="20" t="s">
        <v>167</v>
      </c>
      <c r="C17" s="14">
        <v>0.11</v>
      </c>
      <c r="D17" s="20"/>
      <c r="E17" s="20"/>
      <c r="F17" s="20"/>
      <c r="G17" s="20" t="str">
        <f t="shared" si="0"/>
        <v>하락</v>
      </c>
    </row>
    <row r="18" spans="1:8">
      <c r="A18" s="20" t="s">
        <v>247</v>
      </c>
      <c r="B18" s="20" t="s">
        <v>168</v>
      </c>
      <c r="C18" s="14">
        <v>0.13</v>
      </c>
      <c r="D18" s="20"/>
      <c r="E18" s="20"/>
      <c r="F18" s="20"/>
      <c r="G18" s="20" t="str">
        <f t="shared" si="0"/>
        <v>하락</v>
      </c>
    </row>
    <row r="19" spans="1:8" ht="49.5">
      <c r="A19" s="20" t="s">
        <v>248</v>
      </c>
      <c r="B19" s="20" t="s">
        <v>169</v>
      </c>
      <c r="C19" s="14">
        <v>0.2</v>
      </c>
      <c r="D19" s="14">
        <v>0.3</v>
      </c>
      <c r="E19" s="14">
        <v>0.15</v>
      </c>
      <c r="F19" s="22" t="s">
        <v>232</v>
      </c>
      <c r="G19" s="20" t="str">
        <f t="shared" si="0"/>
        <v>상승</v>
      </c>
    </row>
    <row r="20" spans="1:8">
      <c r="A20" s="20" t="s">
        <v>249</v>
      </c>
      <c r="B20" s="20" t="s">
        <v>170</v>
      </c>
      <c r="C20" s="14">
        <v>0.41</v>
      </c>
      <c r="D20" s="20"/>
      <c r="E20" s="20"/>
      <c r="F20" s="20"/>
      <c r="G20" s="20" t="str">
        <f t="shared" si="0"/>
        <v>하락</v>
      </c>
    </row>
    <row r="21" spans="1:8">
      <c r="A21" s="20" t="s">
        <v>250</v>
      </c>
      <c r="B21" s="20" t="s">
        <v>149</v>
      </c>
      <c r="C21" s="14">
        <v>0.32</v>
      </c>
      <c r="D21" s="20"/>
      <c r="E21" s="20"/>
      <c r="F21" s="20"/>
      <c r="G21" s="20" t="str">
        <f t="shared" si="0"/>
        <v>하락</v>
      </c>
    </row>
    <row r="22" spans="1:8">
      <c r="A22" s="20" t="s">
        <v>251</v>
      </c>
      <c r="B22" s="20" t="s">
        <v>150</v>
      </c>
      <c r="C22" s="14">
        <v>0.38</v>
      </c>
      <c r="D22" s="20"/>
      <c r="E22" s="20"/>
      <c r="F22" s="20"/>
      <c r="G22" s="20" t="str">
        <f t="shared" si="0"/>
        <v>하락</v>
      </c>
    </row>
    <row r="23" spans="1:8">
      <c r="A23" s="20" t="s">
        <v>252</v>
      </c>
      <c r="B23" s="20" t="s">
        <v>151</v>
      </c>
      <c r="C23" s="14">
        <v>0.26</v>
      </c>
      <c r="D23" s="20"/>
      <c r="E23" s="20"/>
      <c r="F23" s="20"/>
      <c r="G23" s="20" t="str">
        <f t="shared" si="0"/>
        <v>하락</v>
      </c>
    </row>
    <row r="24" spans="1:8" ht="49.5">
      <c r="A24" s="20" t="s">
        <v>253</v>
      </c>
      <c r="B24" s="20" t="s">
        <v>152</v>
      </c>
      <c r="C24" s="14">
        <v>0.32</v>
      </c>
      <c r="D24" s="14">
        <v>0.32</v>
      </c>
      <c r="E24" s="14">
        <v>0.19</v>
      </c>
      <c r="F24" s="22" t="s">
        <v>219</v>
      </c>
      <c r="G24" s="20" t="str">
        <f t="shared" si="0"/>
        <v>동일</v>
      </c>
    </row>
    <row r="25" spans="1:8">
      <c r="A25" s="20" t="s">
        <v>254</v>
      </c>
      <c r="B25" s="20" t="s">
        <v>198</v>
      </c>
      <c r="C25" s="14">
        <v>0.39</v>
      </c>
      <c r="D25" s="14">
        <v>0.3</v>
      </c>
      <c r="E25" s="14"/>
      <c r="F25" s="20" t="s">
        <v>204</v>
      </c>
      <c r="G25" s="20" t="str">
        <f t="shared" si="0"/>
        <v>하락</v>
      </c>
    </row>
    <row r="26" spans="1:8">
      <c r="A26" s="20" t="s">
        <v>255</v>
      </c>
      <c r="B26" s="20" t="s">
        <v>153</v>
      </c>
      <c r="C26" s="14">
        <v>0.17</v>
      </c>
      <c r="D26" s="20"/>
      <c r="E26" s="20"/>
      <c r="F26" s="20"/>
      <c r="G26" s="20" t="str">
        <f t="shared" si="0"/>
        <v>하락</v>
      </c>
    </row>
    <row r="27" spans="1:8" ht="49.5">
      <c r="A27" s="20" t="s">
        <v>256</v>
      </c>
      <c r="B27" s="20" t="s">
        <v>154</v>
      </c>
      <c r="C27" s="14">
        <v>0.24</v>
      </c>
      <c r="D27" s="14">
        <v>0.25</v>
      </c>
      <c r="E27" s="14">
        <v>0.15</v>
      </c>
      <c r="F27" s="22" t="s">
        <v>227</v>
      </c>
      <c r="G27" s="20" t="str">
        <f t="shared" si="0"/>
        <v>상승</v>
      </c>
      <c r="H27" s="42" t="s">
        <v>229</v>
      </c>
    </row>
    <row r="28" spans="1:8">
      <c r="A28" s="20" t="s">
        <v>257</v>
      </c>
      <c r="B28" s="20" t="s">
        <v>155</v>
      </c>
      <c r="C28" s="14">
        <v>0.2</v>
      </c>
      <c r="D28" s="20"/>
      <c r="E28" s="20"/>
      <c r="F28" s="20"/>
      <c r="G28" s="20" t="str">
        <f t="shared" si="0"/>
        <v>하락</v>
      </c>
    </row>
    <row r="29" spans="1:8">
      <c r="A29" s="20" t="s">
        <v>258</v>
      </c>
      <c r="B29" s="20" t="s">
        <v>156</v>
      </c>
      <c r="C29" s="14">
        <v>0.27</v>
      </c>
      <c r="D29" s="14">
        <v>0.25</v>
      </c>
      <c r="E29" s="14"/>
      <c r="F29" s="20" t="s">
        <v>202</v>
      </c>
      <c r="G29" s="20" t="str">
        <f t="shared" si="0"/>
        <v>하락</v>
      </c>
    </row>
    <row r="30" spans="1:8">
      <c r="A30" s="20" t="s">
        <v>259</v>
      </c>
      <c r="B30" s="20" t="s">
        <v>157</v>
      </c>
      <c r="C30" s="14">
        <v>0.48</v>
      </c>
      <c r="D30" s="14">
        <v>0.4</v>
      </c>
      <c r="E30" s="14"/>
      <c r="F30" s="20" t="s">
        <v>202</v>
      </c>
      <c r="G30" s="20" t="str">
        <f t="shared" si="0"/>
        <v>하락</v>
      </c>
    </row>
    <row r="31" spans="1:8">
      <c r="A31" s="20" t="s">
        <v>260</v>
      </c>
      <c r="B31" s="20" t="s">
        <v>158</v>
      </c>
      <c r="C31" s="14">
        <v>0.5</v>
      </c>
      <c r="D31" s="20"/>
      <c r="E31" s="20"/>
      <c r="F31" s="20"/>
      <c r="G31" s="20" t="str">
        <f t="shared" si="0"/>
        <v>하락</v>
      </c>
    </row>
    <row r="32" spans="1:8">
      <c r="A32" s="20" t="s">
        <v>261</v>
      </c>
      <c r="B32" s="20" t="s">
        <v>199</v>
      </c>
      <c r="C32" s="14">
        <v>0.31</v>
      </c>
      <c r="D32" s="14">
        <v>0.3</v>
      </c>
      <c r="E32" s="14"/>
      <c r="F32" s="20" t="s">
        <v>204</v>
      </c>
      <c r="G32" s="20" t="str">
        <f t="shared" si="0"/>
        <v>하락</v>
      </c>
    </row>
    <row r="33" spans="1:7">
      <c r="A33" s="20" t="s">
        <v>262</v>
      </c>
      <c r="B33" s="20" t="s">
        <v>159</v>
      </c>
      <c r="C33" s="14">
        <v>0.37</v>
      </c>
      <c r="D33" s="20"/>
      <c r="E33" s="20"/>
      <c r="F33" s="20"/>
      <c r="G33" s="20" t="str">
        <f t="shared" si="0"/>
        <v>하락</v>
      </c>
    </row>
    <row r="34" spans="1:7">
      <c r="A34" s="20" t="s">
        <v>263</v>
      </c>
      <c r="B34" s="20" t="s">
        <v>160</v>
      </c>
      <c r="C34" s="14">
        <v>0.47</v>
      </c>
      <c r="D34" s="20"/>
      <c r="E34" s="20"/>
      <c r="F34" s="20"/>
      <c r="G34" s="20" t="str">
        <f t="shared" si="0"/>
        <v>하락</v>
      </c>
    </row>
    <row r="35" spans="1:7">
      <c r="A35" s="20" t="s">
        <v>264</v>
      </c>
      <c r="B35" s="20" t="s">
        <v>161</v>
      </c>
      <c r="C35" s="14">
        <v>0.17</v>
      </c>
      <c r="D35" s="20"/>
      <c r="E35" s="20"/>
      <c r="F35" s="20"/>
      <c r="G35" s="20" t="str">
        <f t="shared" si="0"/>
        <v>하락</v>
      </c>
    </row>
    <row r="36" spans="1:7">
      <c r="A36" s="20" t="s">
        <v>265</v>
      </c>
      <c r="B36" s="20" t="s">
        <v>162</v>
      </c>
      <c r="C36" s="14">
        <v>0.24</v>
      </c>
      <c r="D36" s="14">
        <v>0.25</v>
      </c>
      <c r="E36" s="14"/>
      <c r="F36" s="20" t="s">
        <v>202</v>
      </c>
      <c r="G36" s="20" t="str">
        <f t="shared" si="0"/>
        <v>상승</v>
      </c>
    </row>
    <row r="37" spans="1:7">
      <c r="A37" s="20" t="s">
        <v>266</v>
      </c>
      <c r="B37" s="20" t="s">
        <v>163</v>
      </c>
      <c r="C37" s="14">
        <v>0.4</v>
      </c>
      <c r="D37" s="20"/>
      <c r="E37" s="20"/>
      <c r="F37" s="20"/>
      <c r="G37" s="20" t="str">
        <f t="shared" si="0"/>
        <v>하락</v>
      </c>
    </row>
    <row r="38" spans="1:7">
      <c r="A38" s="20" t="s">
        <v>267</v>
      </c>
      <c r="B38" s="20" t="s">
        <v>214</v>
      </c>
      <c r="C38" s="14"/>
      <c r="D38" s="14">
        <v>0.3</v>
      </c>
      <c r="E38" s="14"/>
      <c r="F38" s="20" t="s">
        <v>215</v>
      </c>
      <c r="G38" s="20" t="str">
        <f t="shared" si="0"/>
        <v>상승</v>
      </c>
    </row>
    <row r="39" spans="1:7">
      <c r="A39" s="20" t="s">
        <v>268</v>
      </c>
      <c r="B39" s="20" t="s">
        <v>196</v>
      </c>
      <c r="C39" s="14">
        <v>0.31</v>
      </c>
      <c r="D39" s="14">
        <v>0.25</v>
      </c>
      <c r="E39" s="14"/>
      <c r="F39" s="20" t="s">
        <v>204</v>
      </c>
      <c r="G39" s="20" t="str">
        <f t="shared" si="0"/>
        <v>하락</v>
      </c>
    </row>
    <row r="40" spans="1:7">
      <c r="A40" s="20" t="s">
        <v>269</v>
      </c>
      <c r="B40" s="20" t="s">
        <v>164</v>
      </c>
      <c r="C40" s="14">
        <v>0.16</v>
      </c>
      <c r="D40" s="20"/>
      <c r="E40" s="20"/>
      <c r="F40" s="20"/>
      <c r="G40" s="20" t="str">
        <f t="shared" si="0"/>
        <v>하락</v>
      </c>
    </row>
    <row r="41" spans="1:7">
      <c r="A41" s="20" t="s">
        <v>270</v>
      </c>
      <c r="B41" s="20" t="s">
        <v>171</v>
      </c>
      <c r="C41" s="14">
        <v>0.44</v>
      </c>
      <c r="D41" s="14">
        <v>0.4</v>
      </c>
      <c r="E41" s="14"/>
      <c r="F41" s="20" t="s">
        <v>202</v>
      </c>
      <c r="G41" s="20" t="str">
        <f t="shared" si="0"/>
        <v>하락</v>
      </c>
    </row>
    <row r="42" spans="1:7">
      <c r="A42" s="20" t="s">
        <v>272</v>
      </c>
      <c r="B42" s="20" t="s">
        <v>271</v>
      </c>
      <c r="C42" s="14">
        <v>0.21</v>
      </c>
      <c r="D42" s="20"/>
      <c r="E42" s="20"/>
      <c r="F42" s="20"/>
      <c r="G42" s="20" t="str">
        <f t="shared" si="0"/>
        <v>하락</v>
      </c>
    </row>
    <row r="43" spans="1:7">
      <c r="A43" s="20" t="s">
        <v>274</v>
      </c>
      <c r="B43" s="20" t="s">
        <v>273</v>
      </c>
      <c r="C43" s="14">
        <v>0.3</v>
      </c>
      <c r="D43" s="20"/>
      <c r="E43" s="20"/>
      <c r="F43" s="20"/>
      <c r="G43" s="20" t="str">
        <f t="shared" si="0"/>
        <v>하락</v>
      </c>
    </row>
    <row r="44" spans="1:7">
      <c r="A44" s="20" t="s">
        <v>275</v>
      </c>
      <c r="B44" s="20" t="s">
        <v>173</v>
      </c>
      <c r="C44" s="14">
        <v>0.18</v>
      </c>
      <c r="D44" s="20"/>
      <c r="E44" s="20"/>
      <c r="F44" s="20"/>
      <c r="G44" s="20" t="str">
        <f t="shared" si="0"/>
        <v>하락</v>
      </c>
    </row>
    <row r="45" spans="1:7">
      <c r="A45" s="20" t="s">
        <v>276</v>
      </c>
      <c r="B45" s="20" t="s">
        <v>174</v>
      </c>
      <c r="C45" s="14">
        <v>0.14000000000000001</v>
      </c>
      <c r="D45" s="20"/>
      <c r="E45" s="20"/>
      <c r="F45" s="20"/>
      <c r="G45" s="20" t="str">
        <f t="shared" si="0"/>
        <v>하락</v>
      </c>
    </row>
    <row r="46" spans="1:7">
      <c r="A46" s="20" t="s">
        <v>277</v>
      </c>
      <c r="B46" s="20" t="s">
        <v>175</v>
      </c>
      <c r="C46" s="14">
        <v>0.33</v>
      </c>
      <c r="D46" s="20"/>
      <c r="E46" s="20"/>
      <c r="F46" s="20"/>
      <c r="G46" s="20" t="str">
        <f t="shared" si="0"/>
        <v>하락</v>
      </c>
    </row>
    <row r="47" spans="1:7">
      <c r="A47" s="20" t="s">
        <v>278</v>
      </c>
      <c r="B47" s="20" t="s">
        <v>176</v>
      </c>
      <c r="C47" s="14">
        <v>0.15</v>
      </c>
      <c r="D47" s="20"/>
      <c r="E47" s="20"/>
      <c r="F47" s="20"/>
      <c r="G47" s="20" t="str">
        <f t="shared" si="0"/>
        <v>하락</v>
      </c>
    </row>
    <row r="48" spans="1:7">
      <c r="A48" s="20" t="s">
        <v>279</v>
      </c>
      <c r="B48" s="20" t="s">
        <v>177</v>
      </c>
      <c r="C48" s="14">
        <v>0.28999999999999998</v>
      </c>
      <c r="D48" s="20"/>
      <c r="E48" s="20"/>
      <c r="F48" s="20"/>
      <c r="G48" s="20" t="str">
        <f t="shared" si="0"/>
        <v>하락</v>
      </c>
    </row>
    <row r="49" spans="1:7" ht="49.5">
      <c r="A49" s="20" t="s">
        <v>280</v>
      </c>
      <c r="B49" s="20" t="s">
        <v>194</v>
      </c>
      <c r="C49" s="14">
        <v>0.17</v>
      </c>
      <c r="D49" s="14">
        <v>0.2</v>
      </c>
      <c r="E49" s="14">
        <v>0.19</v>
      </c>
      <c r="F49" s="22" t="s">
        <v>228</v>
      </c>
      <c r="G49" s="20" t="str">
        <f t="shared" si="0"/>
        <v>상승</v>
      </c>
    </row>
    <row r="50" spans="1:7">
      <c r="A50" s="20" t="s">
        <v>281</v>
      </c>
      <c r="B50" s="20" t="s">
        <v>178</v>
      </c>
      <c r="C50" s="14">
        <v>0.37</v>
      </c>
      <c r="D50" s="14">
        <v>0.35</v>
      </c>
      <c r="E50" s="14"/>
      <c r="F50" s="20" t="s">
        <v>202</v>
      </c>
      <c r="G50" s="20" t="str">
        <f t="shared" si="0"/>
        <v>하락</v>
      </c>
    </row>
    <row r="51" spans="1:7">
      <c r="A51" s="20" t="s">
        <v>282</v>
      </c>
      <c r="B51" s="20" t="s">
        <v>179</v>
      </c>
      <c r="C51" s="14">
        <v>0.3</v>
      </c>
      <c r="D51" s="14">
        <v>0.3</v>
      </c>
      <c r="E51" s="14"/>
      <c r="F51" s="20" t="s">
        <v>202</v>
      </c>
      <c r="G51" s="20" t="str">
        <f t="shared" si="0"/>
        <v>동일</v>
      </c>
    </row>
    <row r="52" spans="1:7">
      <c r="A52" s="20" t="s">
        <v>283</v>
      </c>
      <c r="B52" s="20" t="s">
        <v>180</v>
      </c>
      <c r="C52" s="14">
        <v>0.25</v>
      </c>
      <c r="D52" s="14">
        <v>0.25</v>
      </c>
      <c r="E52" s="14"/>
      <c r="F52" s="20" t="s">
        <v>202</v>
      </c>
      <c r="G52" s="20" t="str">
        <f t="shared" si="0"/>
        <v>동일</v>
      </c>
    </row>
    <row r="53" spans="1:7">
      <c r="A53" s="20" t="s">
        <v>284</v>
      </c>
      <c r="B53" s="20" t="s">
        <v>181</v>
      </c>
      <c r="C53" s="14">
        <v>0.44</v>
      </c>
      <c r="D53" s="14">
        <v>0.3</v>
      </c>
      <c r="E53" s="14"/>
      <c r="F53" s="20" t="s">
        <v>204</v>
      </c>
      <c r="G53" s="20" t="str">
        <f t="shared" si="0"/>
        <v>하락</v>
      </c>
    </row>
    <row r="54" spans="1:7">
      <c r="A54" s="20" t="s">
        <v>285</v>
      </c>
      <c r="B54" s="20" t="s">
        <v>182</v>
      </c>
      <c r="C54" s="14">
        <v>0.31</v>
      </c>
      <c r="D54" s="20"/>
      <c r="E54" s="20"/>
      <c r="F54" s="20"/>
      <c r="G54" s="20" t="str">
        <f t="shared" si="0"/>
        <v>하락</v>
      </c>
    </row>
    <row r="55" spans="1:7">
      <c r="A55" s="20" t="s">
        <v>286</v>
      </c>
      <c r="B55" s="20" t="s">
        <v>183</v>
      </c>
      <c r="C55" s="14">
        <v>0.41</v>
      </c>
      <c r="D55" s="20"/>
      <c r="E55" s="20"/>
      <c r="F55" s="20"/>
      <c r="G55" s="20" t="str">
        <f t="shared" si="0"/>
        <v>하락</v>
      </c>
    </row>
    <row r="56" spans="1:7">
      <c r="A56" s="20" t="s">
        <v>287</v>
      </c>
      <c r="B56" s="20" t="s">
        <v>184</v>
      </c>
      <c r="C56" s="14">
        <v>0.32</v>
      </c>
      <c r="D56" s="20"/>
      <c r="E56" s="20"/>
      <c r="F56" s="20"/>
      <c r="G56" s="20" t="str">
        <f t="shared" si="0"/>
        <v>하락</v>
      </c>
    </row>
    <row r="57" spans="1:7">
      <c r="A57" s="20" t="s">
        <v>288</v>
      </c>
      <c r="B57" s="20" t="s">
        <v>185</v>
      </c>
      <c r="C57" s="14">
        <v>0.36</v>
      </c>
      <c r="D57" s="14">
        <v>0.36</v>
      </c>
      <c r="E57" s="14"/>
      <c r="F57" s="20" t="s">
        <v>202</v>
      </c>
      <c r="G57" s="20" t="str">
        <f t="shared" si="0"/>
        <v>동일</v>
      </c>
    </row>
    <row r="58" spans="1:7">
      <c r="A58" s="20" t="s">
        <v>289</v>
      </c>
      <c r="B58" s="20" t="s">
        <v>186</v>
      </c>
      <c r="C58" s="14">
        <v>0.28000000000000003</v>
      </c>
      <c r="D58" s="14">
        <v>0.25</v>
      </c>
      <c r="E58" s="14"/>
      <c r="F58" s="20" t="s">
        <v>202</v>
      </c>
      <c r="G58" s="20" t="str">
        <f t="shared" si="0"/>
        <v>하락</v>
      </c>
    </row>
    <row r="59" spans="1:7">
      <c r="A59" s="20" t="s">
        <v>290</v>
      </c>
      <c r="B59" s="20" t="s">
        <v>187</v>
      </c>
      <c r="C59" s="14">
        <v>0.22</v>
      </c>
      <c r="D59" s="20"/>
      <c r="E59" s="20"/>
      <c r="F59" s="20"/>
      <c r="G59" s="20" t="str">
        <f t="shared" si="0"/>
        <v>하락</v>
      </c>
    </row>
    <row r="60" spans="1:7">
      <c r="A60" s="20" t="s">
        <v>291</v>
      </c>
      <c r="B60" s="20" t="s">
        <v>188</v>
      </c>
      <c r="C60" s="14">
        <v>0.15</v>
      </c>
      <c r="D60" s="20"/>
      <c r="E60" s="20"/>
      <c r="F60" s="20"/>
      <c r="G60" s="20" t="str">
        <f t="shared" si="0"/>
        <v>하락</v>
      </c>
    </row>
    <row r="61" spans="1:7">
      <c r="A61" s="20" t="s">
        <v>292</v>
      </c>
      <c r="B61" s="20" t="s">
        <v>189</v>
      </c>
      <c r="C61" s="14">
        <v>0.46</v>
      </c>
      <c r="D61" s="20"/>
      <c r="E61" s="20"/>
      <c r="F61" s="20"/>
      <c r="G61" s="20" t="str">
        <f t="shared" si="0"/>
        <v>하락</v>
      </c>
    </row>
    <row r="62" spans="1:7">
      <c r="A62" s="20" t="s">
        <v>293</v>
      </c>
      <c r="B62" s="20" t="s">
        <v>190</v>
      </c>
      <c r="C62" s="14">
        <v>0.17</v>
      </c>
      <c r="D62" s="20"/>
      <c r="E62" s="20"/>
      <c r="F62" s="20"/>
      <c r="G62" s="20" t="str">
        <f t="shared" si="0"/>
        <v>하락</v>
      </c>
    </row>
    <row r="63" spans="1:7">
      <c r="A63" s="20" t="s">
        <v>294</v>
      </c>
      <c r="B63" s="20" t="s">
        <v>191</v>
      </c>
      <c r="C63" s="14">
        <v>0.18</v>
      </c>
      <c r="D63" s="20"/>
      <c r="E63" s="20"/>
      <c r="F63" s="20"/>
      <c r="G63" s="20" t="str">
        <f t="shared" si="0"/>
        <v>하락</v>
      </c>
    </row>
  </sheetData>
  <autoFilter ref="C3:G63"/>
  <mergeCells count="2">
    <mergeCell ref="B2:B3"/>
    <mergeCell ref="C2:D2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068FAA-C0B7-47CC-A9BB-2F0D988DA0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경과</vt:lpstr>
      <vt:lpstr>국가별 관세 정리</vt:lpstr>
      <vt:lpstr>Sheet1</vt:lpstr>
      <vt:lpstr>국가별 신규 관세율(8월~)</vt:lpstr>
      <vt:lpstr>중국산 반도체 관세 경과</vt:lpstr>
      <vt:lpstr>국가별</vt:lpstr>
      <vt:lpstr>상호관세율 전,후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</dc:creator>
  <cp:lastModifiedBy>prof</cp:lastModifiedBy>
  <cp:lastPrinted>2025-10-31T02:10:05Z</cp:lastPrinted>
  <dcterms:created xsi:type="dcterms:W3CDTF">2025-06-13T08:45:18Z</dcterms:created>
  <dcterms:modified xsi:type="dcterms:W3CDTF">2026-08-18T02:07:56Z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FLCMData">
    <vt:lpwstr>3D58CE51AC3E37FA803214883E90DEB52AC700E27C647CE2A0274C858F8A8AE0EF4AF77D7ACDBE9A4E8B257CD48DB5251D1846F4AF47E4008625E86F3B10A767</vt:lpwstr>
  </property>
  <property fmtid="{D5CDD505-2E9C-101B-9397-08002B2CF9AE}" pid="4" name="DocumentId">
    <vt:lpwstr/>
  </property>
</Properties>
</file>